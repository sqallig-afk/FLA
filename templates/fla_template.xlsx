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ThisWorkbook" defaultThemeVersion="124226"/>
  <mc:AlternateContent xmlns:mc="http://schemas.openxmlformats.org/markup-compatibility/2006">
    <mc:Choice Requires="x15">
      <x15ac:absPath xmlns:x15ac="http://schemas.microsoft.com/office/spreadsheetml/2010/11/ac" url="\\chrliege.be\files\Division.Achats\01 Achats et MP\07 Fiches lancement marché - achat\"/>
    </mc:Choice>
  </mc:AlternateContent>
  <xr:revisionPtr revIDLastSave="0" documentId="13_ncr:1_{AEC36090-92B7-478F-8409-3673984CAECB}" xr6:coauthVersionLast="47" xr6:coauthVersionMax="47" xr10:uidLastSave="{00000000-0000-0000-0000-000000000000}"/>
  <bookViews>
    <workbookView xWindow="-108" yWindow="-108" windowWidth="23256" windowHeight="12576" tabRatio="759" activeTab="1" xr2:uid="{00000000-000D-0000-FFFF-FFFF00000000}"/>
  </bookViews>
  <sheets>
    <sheet name="1 Lancement utilisateur " sheetId="31" r:id="rId1"/>
    <sheet name="2 Présentation" sheetId="36" r:id="rId2"/>
    <sheet name="Données" sheetId="35" state="hidden" r:id="rId3"/>
    <sheet name="4 Serv Technique fiche" sheetId="18" state="hidden" r:id="rId4"/>
    <sheet name="5 Serv Technique exigences" sheetId="23" state="hidden" r:id="rId5"/>
    <sheet name="6 IT check list annexes" sheetId="29" state="hidden" r:id="rId6"/>
    <sheet name="7  IT exigences" sheetId="24" state="hidden" r:id="rId7"/>
    <sheet name="Data" sheetId="20" state="hidden" r:id="rId8"/>
    <sheet name="Data 2" sheetId="34" state="hidden" r:id="rId9"/>
  </sheets>
  <externalReferences>
    <externalReference r:id="rId10"/>
  </externalReferences>
  <definedNames>
    <definedName name="_xlnm._FilterDatabase" localSheetId="4" hidden="1">'5 Serv Technique exigences'!$B$4:$F$104</definedName>
    <definedName name="_xlnm._FilterDatabase" localSheetId="5" hidden="1">'6 IT check list annexes'!$A$4:$D$11</definedName>
    <definedName name="_xlnm._FilterDatabase" localSheetId="6" hidden="1">'7  IT exigences'!$B$4:$F$104</definedName>
    <definedName name="Achats_finances">[1]!Pole3[Achats_finances]</definedName>
    <definedName name="Cellule_stratégique_Qualité_Projets">[1]!Pole6[Cellule_stratégique_Qualité_Projets]</definedName>
    <definedName name="Détails_finalités">[1]Liste!$C$1:$C$98</definedName>
    <definedName name="_xlnm.Print_Titles" localSheetId="3">'4 Serv Technique fiche'!$2:$3</definedName>
    <definedName name="_xlnm.Print_Titles" localSheetId="4">'5 Serv Technique exigences'!$1:$1</definedName>
    <definedName name="_xlnm.Print_Titles" localSheetId="5">'6 IT check list annexes'!$1:$1</definedName>
    <definedName name="_xlnm.Print_Titles" localSheetId="6">'7  IT exigences'!$1:$1</definedName>
    <definedName name="Infrastructure_logistique">[1]!Pole5[Infrastructure_logistique]</definedName>
    <definedName name="Listedépartements">[1]Liste!$B$1:$B$98</definedName>
    <definedName name="Médical_Pharmacie">[1]!Pole1[Médical_Pharmacie]</definedName>
    <definedName name="Ressources_humaines_Trajet_patient_communications">[1]!Pole4[Ressources_humaines_Trajet_patient_communications]</definedName>
    <definedName name="Soins">[1]!Pole2[Soins]</definedName>
    <definedName name="Système_information">[1]!Pole7[Système_information]</definedName>
    <definedName name="Traitements_marchés">[1]!Tableau19[Traitements_marchés]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36" l="1"/>
  <c r="B36" i="36"/>
  <c r="B41" i="36" l="1"/>
  <c r="B40" i="36"/>
  <c r="B39" i="36"/>
  <c r="B38" i="36"/>
  <c r="B26" i="36"/>
  <c r="B25" i="36"/>
  <c r="B22" i="36"/>
  <c r="B21" i="36"/>
  <c r="B19" i="36"/>
  <c r="B18" i="36"/>
  <c r="B16" i="36"/>
  <c r="B15" i="36"/>
  <c r="B12" i="36"/>
  <c r="B11" i="36"/>
  <c r="B10" i="36"/>
  <c r="B9" i="36"/>
  <c r="B8" i="36"/>
  <c r="B7" i="36"/>
  <c r="B6" i="36"/>
  <c r="B3" i="36"/>
  <c r="D2" i="24" l="1"/>
  <c r="D2" i="29"/>
  <c r="D1" i="29"/>
  <c r="D2" i="23"/>
  <c r="C3" i="18"/>
  <c r="C2" i="18"/>
  <c r="D1" i="24"/>
  <c r="D1" i="23"/>
  <c r="A104" i="24" l="1"/>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alcChain>
</file>

<file path=xl/sharedStrings.xml><?xml version="1.0" encoding="utf-8"?>
<sst xmlns="http://schemas.openxmlformats.org/spreadsheetml/2006/main" count="582" uniqueCount="525">
  <si>
    <t>Nom du projet :</t>
  </si>
  <si>
    <t>Date de la fiche :</t>
  </si>
  <si>
    <t>…</t>
  </si>
  <si>
    <t>Rédacteur:</t>
  </si>
  <si>
    <t>Matériel principal</t>
  </si>
  <si>
    <t>Remarque :</t>
  </si>
  <si>
    <t>Remarques générales</t>
  </si>
  <si>
    <t>Annexes:</t>
  </si>
  <si>
    <t>Réception</t>
  </si>
  <si>
    <t>Installation</t>
  </si>
  <si>
    <t>Maintenance</t>
  </si>
  <si>
    <t>Déclassement</t>
  </si>
  <si>
    <t>Lieu de livraison :</t>
  </si>
  <si>
    <t>Mise en service :</t>
  </si>
  <si>
    <t>Déchargement :</t>
  </si>
  <si>
    <t>Remarques :</t>
  </si>
  <si>
    <t xml:space="preserve">Réception provisoire: </t>
  </si>
  <si>
    <t>Inventaire et disponibilité</t>
  </si>
  <si>
    <t>Matériel disponible :</t>
  </si>
  <si>
    <t>Numéro du matériel :</t>
  </si>
  <si>
    <t>Remarques:</t>
  </si>
  <si>
    <t>Organisme agréé :</t>
  </si>
  <si>
    <t>Maintenance interne :</t>
  </si>
  <si>
    <t>Maintenance externe :</t>
  </si>
  <si>
    <t>Omnium :</t>
  </si>
  <si>
    <t>Machine à déclasser :</t>
  </si>
  <si>
    <t>Machine à vendre :</t>
  </si>
  <si>
    <t>Exécution :</t>
  </si>
  <si>
    <t>Signature :</t>
  </si>
  <si>
    <t>Nom prénom :</t>
  </si>
  <si>
    <t>Date :</t>
  </si>
  <si>
    <t>Informations de Base</t>
  </si>
  <si>
    <t>Non</t>
  </si>
  <si>
    <t>Oui</t>
  </si>
  <si>
    <t>Autres :</t>
  </si>
  <si>
    <t>Budget complémentaire - hors budget principal</t>
  </si>
  <si>
    <t>Dépenses  :</t>
  </si>
  <si>
    <t>Prestations internes :</t>
  </si>
  <si>
    <t>TOTAL :</t>
  </si>
  <si>
    <t>Travaux à prévoir :</t>
  </si>
  <si>
    <t>Docs spécifiques :</t>
  </si>
  <si>
    <t>Réception définitive :</t>
  </si>
  <si>
    <t>Menuiserie / Serrurerie :</t>
  </si>
  <si>
    <t>Revêtement de sol :</t>
  </si>
  <si>
    <t>Peinture :</t>
  </si>
  <si>
    <t>Paroi :</t>
  </si>
  <si>
    <t>Signalisation :</t>
  </si>
  <si>
    <t>Sanitaire :</t>
  </si>
  <si>
    <t>Eau osmosée :</t>
  </si>
  <si>
    <t>Eau adoucie :</t>
  </si>
  <si>
    <t>Eau sanitaire :</t>
  </si>
  <si>
    <t>Evacuation d'eau :</t>
  </si>
  <si>
    <t>Appel infirmière :</t>
  </si>
  <si>
    <t>Appel général / Musique :</t>
  </si>
  <si>
    <t>Horloge :</t>
  </si>
  <si>
    <t>Equipement roulant :</t>
  </si>
  <si>
    <t>Electroménager :</t>
  </si>
  <si>
    <t>Fluide médical :</t>
  </si>
  <si>
    <t>Air comprimé technique :</t>
  </si>
  <si>
    <t>Manutention patient :</t>
  </si>
  <si>
    <t>Levage :</t>
  </si>
  <si>
    <t>Réseau électrique BT :</t>
  </si>
  <si>
    <t>Réseau électrique HT :</t>
  </si>
  <si>
    <t>Eclairage :</t>
  </si>
  <si>
    <t>Data :</t>
  </si>
  <si>
    <t>Contrôle d'accès :</t>
  </si>
  <si>
    <t>Incendie :</t>
  </si>
  <si>
    <t>Télétube :</t>
  </si>
  <si>
    <t>Télélift :</t>
  </si>
  <si>
    <t>Volet automatique :</t>
  </si>
  <si>
    <t>Porte automatique :</t>
  </si>
  <si>
    <t>Store :</t>
  </si>
  <si>
    <t>Caméra :</t>
  </si>
  <si>
    <t>Audiovisuel :</t>
  </si>
  <si>
    <t>Régulation / Alarme :</t>
  </si>
  <si>
    <t>Eau glacée :</t>
  </si>
  <si>
    <t>Froid contrôlé :</t>
  </si>
  <si>
    <t>Vapeur :</t>
  </si>
  <si>
    <t>Chauffage :</t>
  </si>
  <si>
    <t>Ventilation :</t>
  </si>
  <si>
    <t>Climatisation autonome :</t>
  </si>
  <si>
    <t>Dispositif médical :</t>
  </si>
  <si>
    <t>Total achats indirects :</t>
  </si>
  <si>
    <t xml:space="preserve">Total ressources </t>
  </si>
  <si>
    <t>Approbation responsable technique</t>
  </si>
  <si>
    <t>Aucun</t>
  </si>
  <si>
    <t>Exigence obligatoire</t>
  </si>
  <si>
    <t>Service demandeur</t>
  </si>
  <si>
    <t xml:space="preserve">Tous </t>
  </si>
  <si>
    <t>Critère d'attribution</t>
  </si>
  <si>
    <t>Disposable</t>
  </si>
  <si>
    <t>Lot 01</t>
  </si>
  <si>
    <t>Poste  01</t>
  </si>
  <si>
    <t>Sélection qualitative</t>
  </si>
  <si>
    <t>Lot 02</t>
  </si>
  <si>
    <t>Poste  02</t>
  </si>
  <si>
    <t>Lot 03</t>
  </si>
  <si>
    <t>Poste  03</t>
  </si>
  <si>
    <t>Lot 04</t>
  </si>
  <si>
    <t>Poste  04</t>
  </si>
  <si>
    <t>Lot 05</t>
  </si>
  <si>
    <t>Poste  05</t>
  </si>
  <si>
    <t>Lot 06</t>
  </si>
  <si>
    <t>Poste  06</t>
  </si>
  <si>
    <t>Lot 07</t>
  </si>
  <si>
    <t>Poste  07</t>
  </si>
  <si>
    <t>Lot 08</t>
  </si>
  <si>
    <t>Poste  08</t>
  </si>
  <si>
    <t>Lot 09</t>
  </si>
  <si>
    <t>Poste  09</t>
  </si>
  <si>
    <t>Lot 10</t>
  </si>
  <si>
    <t>Poste  10</t>
  </si>
  <si>
    <t>Lot 11</t>
  </si>
  <si>
    <t>Poste  11</t>
  </si>
  <si>
    <t>Lot 12</t>
  </si>
  <si>
    <t>Poste  12</t>
  </si>
  <si>
    <t>Lot 13</t>
  </si>
  <si>
    <t>Poste  13</t>
  </si>
  <si>
    <t>Lot 14</t>
  </si>
  <si>
    <t>Poste  14</t>
  </si>
  <si>
    <t>Lot 15</t>
  </si>
  <si>
    <t>Poste  15</t>
  </si>
  <si>
    <t>Lot 16</t>
  </si>
  <si>
    <t>Poste  16</t>
  </si>
  <si>
    <t>Lot 17</t>
  </si>
  <si>
    <t>Poste  17</t>
  </si>
  <si>
    <t>Lot 18</t>
  </si>
  <si>
    <t>Poste  18</t>
  </si>
  <si>
    <t>Lot 19</t>
  </si>
  <si>
    <t>Poste  19</t>
  </si>
  <si>
    <t>Lot 20</t>
  </si>
  <si>
    <t>Poste  20</t>
  </si>
  <si>
    <t>Lot 21</t>
  </si>
  <si>
    <t>Poste  21</t>
  </si>
  <si>
    <t>Lot 22</t>
  </si>
  <si>
    <t>Poste  22</t>
  </si>
  <si>
    <t>Lot 23</t>
  </si>
  <si>
    <t>Poste  23</t>
  </si>
  <si>
    <t>Lot 24</t>
  </si>
  <si>
    <t>Poste  24</t>
  </si>
  <si>
    <t>Lot 25</t>
  </si>
  <si>
    <t>Poste  25</t>
  </si>
  <si>
    <t>Lot 26</t>
  </si>
  <si>
    <t>Poste  26</t>
  </si>
  <si>
    <t>Lot 27</t>
  </si>
  <si>
    <t>Poste  27</t>
  </si>
  <si>
    <t>Lot 28</t>
  </si>
  <si>
    <t>Poste  28</t>
  </si>
  <si>
    <t>Lot 29</t>
  </si>
  <si>
    <t>Poste  29</t>
  </si>
  <si>
    <t>Lot 30</t>
  </si>
  <si>
    <t>Poste  30</t>
  </si>
  <si>
    <t xml:space="preserve">Type d'exigence </t>
  </si>
  <si>
    <t>Exigences</t>
  </si>
  <si>
    <t>Type</t>
  </si>
  <si>
    <t>Commentaires / remarques</t>
  </si>
  <si>
    <t>Référence</t>
  </si>
  <si>
    <t>Autre</t>
  </si>
  <si>
    <t>Interne</t>
  </si>
  <si>
    <t>Externe</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</si>
  <si>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</si>
  <si>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</si>
  <si>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</si>
  <si>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</si>
  <si>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</si>
  <si>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</si>
  <si>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</si>
  <si>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</si>
  <si>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</si>
  <si>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</si>
  <si>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</si>
  <si>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</si>
  <si>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</si>
  <si>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</si>
  <si>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</si>
  <si>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</si>
  <si>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</si>
  <si>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</si>
  <si>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</si>
  <si>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</si>
  <si>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</si>
  <si>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</si>
  <si>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</si>
  <si>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</si>
  <si>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</si>
  <si>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</si>
  <si>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</si>
  <si>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</si>
  <si>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</si>
  <si>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</si>
  <si>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</si>
  <si>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</si>
  <si>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</si>
  <si>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</si>
  <si>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</si>
  <si>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</si>
  <si>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</si>
  <si>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</si>
  <si>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</si>
  <si>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</si>
  <si>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</si>
  <si>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</si>
  <si>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</si>
  <si>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</si>
  <si>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</si>
  <si>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</si>
  <si>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</si>
  <si>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</si>
  <si>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</si>
  <si>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</si>
  <si>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</si>
  <si>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</si>
  <si>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</si>
  <si>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</si>
  <si>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</si>
  <si>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</si>
  <si>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</si>
  <si>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</si>
  <si>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</si>
  <si>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</si>
  <si>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</si>
  <si>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</si>
  <si>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</si>
  <si>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</si>
  <si>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</si>
  <si>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</si>
  <si>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</si>
  <si>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</si>
  <si>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</si>
  <si>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</si>
  <si>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</si>
  <si>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</si>
  <si>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</si>
  <si>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</si>
  <si>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</si>
  <si>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</si>
  <si>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</si>
  <si>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</si>
  <si>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</si>
  <si>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</si>
  <si>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</si>
  <si>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</si>
  <si>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</si>
  <si>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</si>
  <si>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</si>
  <si>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</si>
  <si>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</si>
  <si>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</si>
  <si>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</si>
  <si>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</si>
  <si>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</si>
  <si>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</si>
  <si>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</si>
  <si>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</si>
  <si>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</si>
  <si>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</si>
  <si>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</si>
  <si>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</si>
  <si>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</si>
  <si>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</si>
  <si>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</si>
  <si>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</si>
  <si>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</si>
  <si>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</si>
  <si>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</si>
  <si>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</si>
  <si>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</si>
  <si>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</si>
  <si>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</si>
  <si>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</si>
  <si>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</si>
  <si>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</si>
  <si>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</si>
  <si>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</si>
  <si>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</si>
  <si>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</si>
  <si>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</si>
  <si>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</si>
  <si>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</si>
  <si>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</si>
  <si>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</si>
  <si>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</si>
  <si>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</si>
  <si>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</si>
  <si>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</si>
  <si>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</si>
  <si>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</si>
  <si>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</si>
  <si>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</si>
  <si>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</si>
  <si>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</si>
  <si>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</si>
  <si>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</si>
  <si>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</si>
  <si>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</si>
  <si>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</si>
  <si>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</si>
  <si>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</si>
  <si>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</si>
  <si>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</si>
  <si>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</si>
  <si>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</si>
  <si>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</si>
  <si>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</si>
  <si>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</si>
  <si>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</si>
  <si>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</si>
  <si>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</si>
  <si>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</si>
  <si>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</si>
  <si>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</si>
  <si>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</si>
  <si>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</si>
  <si>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</si>
  <si>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</si>
  <si>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</si>
  <si>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</si>
  <si>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</si>
  <si>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</si>
  <si>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</si>
  <si>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</si>
  <si>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</si>
  <si>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</si>
  <si>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</si>
  <si>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</si>
  <si>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</si>
  <si>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</si>
  <si>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</si>
  <si>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</si>
  <si>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</si>
  <si>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</si>
  <si>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</si>
  <si>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</si>
  <si>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</si>
  <si>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</si>
  <si>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</si>
  <si>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</si>
  <si>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</si>
  <si>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</si>
  <si>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</si>
  <si>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</si>
  <si>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</si>
  <si>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</si>
  <si>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</si>
  <si>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</si>
  <si>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</si>
  <si>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</si>
  <si>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</si>
  <si>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</si>
  <si>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</si>
  <si>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</si>
  <si>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</si>
  <si>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</si>
  <si>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</si>
  <si>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</si>
  <si>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</si>
  <si>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</si>
  <si>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</si>
  <si>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</si>
  <si>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</si>
  <si>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en nbre de procédures</t>
  </si>
  <si>
    <t xml:space="preserve">par an </t>
  </si>
  <si>
    <t xml:space="preserve">en nbre de pièces </t>
  </si>
  <si>
    <t xml:space="preserve">pour la durée du marché </t>
  </si>
  <si>
    <t>Tous</t>
  </si>
  <si>
    <t>Coût total :</t>
  </si>
  <si>
    <t>Calcul sur une durée :</t>
  </si>
  <si>
    <t xml:space="preserve">Explicatif : </t>
  </si>
  <si>
    <t>Coût estimé (compléments techniques)</t>
  </si>
  <si>
    <t>Nom de l'annexe</t>
  </si>
  <si>
    <t>A insérer dans le CSC?</t>
  </si>
  <si>
    <t xml:space="preserve">A modifier? </t>
  </si>
  <si>
    <t>Concat lot</t>
  </si>
  <si>
    <t>Nombre de patients et/ou procédures par an</t>
  </si>
  <si>
    <t>Secteur</t>
  </si>
  <si>
    <t>HVAC</t>
  </si>
  <si>
    <t>Biomed</t>
  </si>
  <si>
    <t>Electricité</t>
  </si>
  <si>
    <t>Charte sur l'utilisation et la sécurisation du système de l'information du C.H.R. de la Citadelle</t>
  </si>
  <si>
    <t>Environnement d’exécution</t>
  </si>
  <si>
    <t>Environnement opérationnelles</t>
  </si>
  <si>
    <t>Exigences de sécurité</t>
  </si>
  <si>
    <t xml:space="preserve">Formulaire SSO </t>
  </si>
  <si>
    <t>Interopérabilité avec les systèmes du C.H.R.</t>
  </si>
  <si>
    <t>Conventions de nommage et définition</t>
  </si>
  <si>
    <t>Architecture</t>
  </si>
  <si>
    <t>Bâtiment</t>
  </si>
  <si>
    <t>Electro-méca</t>
  </si>
  <si>
    <t>Hardware</t>
  </si>
  <si>
    <t>Software</t>
  </si>
  <si>
    <t>Prestations</t>
  </si>
  <si>
    <t>Acheteur :</t>
  </si>
  <si>
    <t>Budget HTVA estimé technique / travaux :</t>
  </si>
  <si>
    <t>Sites extérieurs</t>
  </si>
  <si>
    <t>Cellule projet</t>
  </si>
  <si>
    <t>Connexion au réseau IT</t>
  </si>
  <si>
    <t>Maintenance IT</t>
  </si>
  <si>
    <t>Code INAMI de la prestation ou du forfait</t>
  </si>
  <si>
    <t>Raison de l'achat</t>
  </si>
  <si>
    <t>Data</t>
  </si>
  <si>
    <t>Nouvelle activité</t>
  </si>
  <si>
    <t>Extension du parc existant / 
augmentation de l'activité existante</t>
  </si>
  <si>
    <t>Autre : spécifier dans la case suivante</t>
  </si>
  <si>
    <t>Service demandeur :</t>
  </si>
  <si>
    <t>Catégorie d'achat</t>
  </si>
  <si>
    <t>FLEET</t>
  </si>
  <si>
    <t>PHARMACIE</t>
  </si>
  <si>
    <t>MEDICAL</t>
  </si>
  <si>
    <t>LABORATOIRE</t>
  </si>
  <si>
    <t>SERVICES GENERAUX</t>
  </si>
  <si>
    <t>GESTION DES DECHETS</t>
  </si>
  <si>
    <t>TECHNIQUE ET INFRASTRUCTURE</t>
  </si>
  <si>
    <t>Nom et tél/mail du demandeur :</t>
  </si>
  <si>
    <t xml:space="preserve">FICHE A RENVOYER COMPLETEE A : </t>
  </si>
  <si>
    <r>
      <t xml:space="preserve">Local </t>
    </r>
    <r>
      <rPr>
        <sz val="11"/>
        <rFont val="Calibri"/>
        <family val="2"/>
        <scheme val="minor"/>
      </rPr>
      <t>existant (lequel ?) ou nécessité d'un local supplémentaire ?</t>
    </r>
  </si>
  <si>
    <r>
      <t xml:space="preserve">Date de mise en service /début </t>
    </r>
    <r>
      <rPr>
        <sz val="11"/>
        <rFont val="Calibri"/>
        <family val="2"/>
        <scheme val="minor"/>
      </rPr>
      <t>souhaitée :</t>
    </r>
  </si>
  <si>
    <t>Prestation de service</t>
  </si>
  <si>
    <t>Travaux</t>
  </si>
  <si>
    <t>Type de dossier</t>
  </si>
  <si>
    <t>Amélioration de l'existant (qualité, 
sécurité, innovation, etc.)</t>
  </si>
  <si>
    <t>Consommables/Maintenance/Autre</t>
  </si>
  <si>
    <t>Type de maintenance</t>
  </si>
  <si>
    <t>Omnium</t>
  </si>
  <si>
    <t>Semi-omnium</t>
  </si>
  <si>
    <t>Interne à l'institution</t>
  </si>
  <si>
    <t>Pas de maintenance</t>
  </si>
  <si>
    <t>Faut-il prévoir de la maintenance ?
(choisir parmi les options)</t>
  </si>
  <si>
    <t>Préventive</t>
  </si>
  <si>
    <r>
      <t>Raison de l'achat :</t>
    </r>
    <r>
      <rPr>
        <sz val="11"/>
        <rFont val="Calibri"/>
        <family val="2"/>
        <scheme val="minor"/>
      </rPr>
      <t xml:space="preserve">
(choisir parmi les options)</t>
    </r>
  </si>
  <si>
    <t xml:space="preserve">Site(s) concerné(s)
</t>
  </si>
  <si>
    <t>Location/leasing</t>
  </si>
  <si>
    <r>
      <rPr>
        <b/>
        <sz val="11"/>
        <rFont val="Calibri"/>
        <family val="2"/>
        <scheme val="minor"/>
      </rPr>
      <t>Date :</t>
    </r>
    <r>
      <rPr>
        <sz val="11"/>
        <rFont val="Calibri"/>
        <family val="2"/>
        <scheme val="minor"/>
      </rPr>
      <t xml:space="preserve">
</t>
    </r>
  </si>
  <si>
    <t>Autres informations</t>
  </si>
  <si>
    <r>
      <rPr>
        <b/>
        <u/>
        <sz val="11"/>
        <rFont val="Calibri"/>
        <family val="2"/>
        <scheme val="minor"/>
      </rPr>
      <t>Tests</t>
    </r>
    <r>
      <rPr>
        <sz val="11"/>
        <rFont val="Calibri"/>
        <family val="2"/>
        <scheme val="minor"/>
      </rPr>
      <t xml:space="preserve"> à organiser (Oui/Non)</t>
    </r>
  </si>
  <si>
    <r>
      <t>Autres parties prenantes</t>
    </r>
    <r>
      <rPr>
        <sz val="11"/>
        <rFont val="Calibri"/>
        <family val="2"/>
        <scheme val="minor"/>
      </rPr>
      <t xml:space="preserve"> (Spécifier)</t>
    </r>
  </si>
  <si>
    <r>
      <t xml:space="preserve">Fournisseurs potentiels </t>
    </r>
    <r>
      <rPr>
        <sz val="11"/>
        <rFont val="Calibri"/>
        <family val="2"/>
        <scheme val="minor"/>
      </rPr>
      <t>pouvant être consultés et motivation si absence de concurrence</t>
    </r>
  </si>
  <si>
    <t>INFORMATIQUE MEDICAL</t>
  </si>
  <si>
    <t>Rentabilité</t>
  </si>
  <si>
    <t>FOURNITURES BUREAU</t>
  </si>
  <si>
    <t>ALIMENTATION/HORECA</t>
  </si>
  <si>
    <t>NETTOYAGE/LINGERIE/TENUES</t>
  </si>
  <si>
    <t>HYGIENE/PROTECTION INDIVIDUELLE (EPI)</t>
  </si>
  <si>
    <t>INFORMATIQUE HORS MEDICAL</t>
  </si>
  <si>
    <t>MOBILIER</t>
  </si>
  <si>
    <t>ELECTRO/AUDIOVISUEL/TELEPHONIE</t>
  </si>
  <si>
    <r>
      <rPr>
        <b/>
        <sz val="11"/>
        <rFont val="Calibri"/>
        <family val="2"/>
        <scheme val="minor"/>
      </rPr>
      <t xml:space="preserve">Catégorie d'achat : </t>
    </r>
    <r>
      <rPr>
        <sz val="11"/>
        <rFont val="Calibri"/>
        <family val="2"/>
        <scheme val="minor"/>
      </rPr>
      <t xml:space="preserve">(choisir parmi les options)
</t>
    </r>
    <r>
      <rPr>
        <sz val="9"/>
        <rFont val="Calibri"/>
        <family val="2"/>
        <scheme val="minor"/>
      </rPr>
      <t>Liée à la nature du bien/service acheté, pas au service demandeur. Ex. achat d'un siège de bureau pour le service de gynécologie =&gt; choisir la catégorie MOBILIER</t>
    </r>
    <r>
      <rPr>
        <sz val="11"/>
        <rFont val="Calibri"/>
        <family val="2"/>
        <scheme val="minor"/>
      </rPr>
      <t xml:space="preserve">
</t>
    </r>
  </si>
  <si>
    <t>Informations de Base et Motivation</t>
  </si>
  <si>
    <t xml:space="preserve">Budget / Estimation </t>
  </si>
  <si>
    <t>Autres parties prenantes (internes à l'institution)</t>
  </si>
  <si>
    <t>Mot de passe : fis</t>
  </si>
  <si>
    <r>
      <t xml:space="preserve">Disposez-vous d'un ou plusieurs devis ?
</t>
    </r>
    <r>
      <rPr>
        <sz val="11"/>
        <rFont val="Calibri"/>
        <family val="2"/>
        <scheme val="minor"/>
      </rPr>
      <t>Si oui, merci de le ou les transmettre avec la fiche</t>
    </r>
  </si>
  <si>
    <t>Fiche acceptée</t>
  </si>
  <si>
    <t xml:space="preserve">
Veuillez préciser la ou les catégories : infirmière/aide soignante/aide logistique, etc.</t>
  </si>
  <si>
    <t>Ressources humaines nécessaires pour réaliser la prestation (spécifier ETP ou nombre d'heure par catégorie)</t>
  </si>
  <si>
    <t>Connexion IT</t>
  </si>
  <si>
    <t>Wifi</t>
  </si>
  <si>
    <t>Câblage</t>
  </si>
  <si>
    <t>FICHE DE DEMANDE DE LANCEMENT D'UN ACHAT</t>
  </si>
  <si>
    <r>
      <t xml:space="preserve">Le projet fait-il l'objet d'un </t>
    </r>
    <r>
      <rPr>
        <b/>
        <u/>
        <sz val="11"/>
        <rFont val="Calibri"/>
        <family val="2"/>
        <scheme val="minor"/>
      </rPr>
      <t xml:space="preserve">subside/convention </t>
    </r>
    <r>
      <rPr>
        <sz val="11"/>
        <rFont val="Calibri"/>
        <family val="2"/>
        <scheme val="minor"/>
      </rPr>
      <t>? (Oui/Non, si OUI préciser)</t>
    </r>
  </si>
  <si>
    <r>
      <rPr>
        <b/>
        <u/>
        <sz val="11"/>
        <rFont val="Calibri"/>
        <family val="2"/>
        <scheme val="minor"/>
      </rPr>
      <t xml:space="preserve">Rentabilité : </t>
    </r>
    <r>
      <rPr>
        <sz val="11"/>
        <rFont val="Calibri"/>
        <family val="2"/>
        <scheme val="minor"/>
      </rPr>
      <t xml:space="preserve">Informations concernant la rentabilité de l'achat/dépense
</t>
    </r>
    <r>
      <rPr>
        <sz val="9"/>
        <rFont val="Calibri"/>
        <family val="2"/>
        <scheme val="minor"/>
      </rPr>
      <t>Ex : refacturation au patient / optimisations des coûts / efficience du personnel / etc.</t>
    </r>
  </si>
  <si>
    <t>Refusé</t>
  </si>
  <si>
    <t>Accepté sous-réserve</t>
  </si>
  <si>
    <t>Accepté</t>
  </si>
  <si>
    <t>Reporté</t>
  </si>
  <si>
    <t>achats@citadelle.be 
(ou à votre interlocuteur habituel au service achats)</t>
  </si>
  <si>
    <t>Mot de passe :</t>
  </si>
  <si>
    <t>Où trouver cette fiche sur l'intranet :</t>
  </si>
  <si>
    <t>https://intranetsites.chrcitadelle.be/Achats et magasins/99 Plateforme échange/A - FICHE DE LANCEMENT ACHATS</t>
  </si>
  <si>
    <t>Montant du code INAMI en € (si connu)</t>
  </si>
  <si>
    <t>% pour l'hôpital sur code INAMI (si connu)</t>
  </si>
  <si>
    <t>Remplacement matériel perdu</t>
  </si>
  <si>
    <t>Achat</t>
  </si>
  <si>
    <r>
      <rPr>
        <b/>
        <u/>
        <sz val="11"/>
        <rFont val="Calibri"/>
        <family val="2"/>
        <scheme val="minor"/>
      </rPr>
      <t xml:space="preserve">Compatibilité </t>
    </r>
    <r>
      <rPr>
        <sz val="11"/>
        <rFont val="Calibri"/>
        <family val="2"/>
        <scheme val="minor"/>
      </rPr>
      <t>avec du matériel déjà présent dans l'institution ? Si oui, veuillez spécifier lequel :</t>
    </r>
  </si>
  <si>
    <r>
      <t>Quantité</t>
    </r>
    <r>
      <rPr>
        <b/>
        <sz val="11"/>
        <rFont val="Calibri"/>
        <family val="2"/>
        <scheme val="minor"/>
      </rPr>
      <t xml:space="preserve"> :
</t>
    </r>
    <r>
      <rPr>
        <sz val="11"/>
        <rFont val="Calibri"/>
        <family val="2"/>
        <scheme val="minor"/>
      </rPr>
      <t>(indiquer la quantité totale)</t>
    </r>
  </si>
  <si>
    <t xml:space="preserve">Prix unitaire € TVAC :
</t>
  </si>
  <si>
    <t xml:space="preserve">Montant total € TVAC :
</t>
  </si>
  <si>
    <t>Si applicable =&gt; Consommables :</t>
  </si>
  <si>
    <t>Si applicable =&gt; Maintenance :</t>
  </si>
  <si>
    <r>
      <t xml:space="preserve">Estimation des consommables </t>
    </r>
    <r>
      <rPr>
        <b/>
        <sz val="11"/>
        <rFont val="Calibri"/>
        <family val="2"/>
        <scheme val="minor"/>
      </rPr>
      <t>€ TVAC</t>
    </r>
    <r>
      <rPr>
        <sz val="11"/>
        <rFont val="Calibri"/>
        <family val="2"/>
        <scheme val="minor"/>
      </rPr>
      <t xml:space="preserve"> pour 1 an</t>
    </r>
  </si>
  <si>
    <r>
      <t xml:space="preserve">Estimation de la maintenance </t>
    </r>
    <r>
      <rPr>
        <b/>
        <sz val="11"/>
        <rFont val="Calibri"/>
        <family val="2"/>
        <scheme val="minor"/>
      </rPr>
      <t>€ TVAC</t>
    </r>
    <r>
      <rPr>
        <sz val="11"/>
        <rFont val="Calibri"/>
        <family val="2"/>
        <scheme val="minor"/>
      </rPr>
      <t xml:space="preserve"> pendant 1 an</t>
    </r>
  </si>
  <si>
    <t>Ne sais pas</t>
  </si>
  <si>
    <t>Pour les équipements, y a-t-il des consommables dédiés ?
(Choisir parmi les options)</t>
  </si>
  <si>
    <r>
      <rPr>
        <b/>
        <u/>
        <sz val="11"/>
        <rFont val="Calibri"/>
        <family val="2"/>
        <scheme val="minor"/>
      </rPr>
      <t xml:space="preserve">Travaux/technique : </t>
    </r>
    <r>
      <rPr>
        <sz val="11"/>
        <rFont val="Calibri"/>
        <family val="2"/>
        <scheme val="minor"/>
      </rPr>
      <t>L’installation du matériel nécessite-t-elle des raccordements techniques et/ou la réalisation de travaux ou d'autres prestations techniques particulières ? 
(choisir parmi les options)</t>
    </r>
  </si>
  <si>
    <r>
      <rPr>
        <b/>
        <u/>
        <sz val="11"/>
        <rFont val="Calibri"/>
        <family val="2"/>
        <scheme val="minor"/>
      </rPr>
      <t xml:space="preserve">RGPD : </t>
    </r>
    <r>
      <rPr>
        <sz val="11"/>
        <rFont val="Calibri"/>
        <family val="2"/>
        <scheme val="minor"/>
      </rPr>
      <t>Le fournisseur a-t-il accès à des données patients et/ou des données personnelles ? 
(choisir parmi les options)</t>
    </r>
  </si>
  <si>
    <r>
      <rPr>
        <b/>
        <u/>
        <sz val="11"/>
        <rFont val="Calibri"/>
        <family val="2"/>
        <scheme val="minor"/>
      </rPr>
      <t xml:space="preserve">SIPP : </t>
    </r>
    <r>
      <rPr>
        <sz val="11"/>
        <rFont val="Calibri"/>
        <family val="2"/>
        <scheme val="minor"/>
      </rPr>
      <t>Le projet nécessite-t-il l'intervetion ou un avis du SIPP ? 
(choisir parmi les options)</t>
    </r>
  </si>
  <si>
    <r>
      <rPr>
        <b/>
        <u/>
        <sz val="11"/>
        <rFont val="Calibri"/>
        <family val="2"/>
        <scheme val="minor"/>
      </rPr>
      <t xml:space="preserve">Hygiène : </t>
    </r>
    <r>
      <rPr>
        <sz val="11"/>
        <rFont val="Calibri"/>
        <family val="2"/>
        <scheme val="minor"/>
      </rPr>
      <t>Le projet nécessite-t-il l'intervetion/avis des hygiénistes ?
(choisir parmi les options)</t>
    </r>
  </si>
  <si>
    <t>Pas de consommables</t>
  </si>
  <si>
    <t>Consommables médicaux stériles</t>
  </si>
  <si>
    <t>Consommables non-médicaux</t>
  </si>
  <si>
    <t>Consommables médicaux non-stériles</t>
  </si>
  <si>
    <t>Consommables médicaux stériles ET non-stériles</t>
  </si>
  <si>
    <t xml:space="preserve">RGPD : </t>
  </si>
  <si>
    <t xml:space="preserve">SIPP : </t>
  </si>
  <si>
    <t>Hygiène :</t>
  </si>
  <si>
    <t>Autres parties prenantes :</t>
  </si>
  <si>
    <t>Equipement IT nécessaire (PC, serveur, etc)</t>
  </si>
  <si>
    <t>Connexion nécessaire (Wifi, câble)</t>
  </si>
  <si>
    <t>Aucune intervention de l'IT</t>
  </si>
  <si>
    <t>Intégration au système IT nécessaire (DPI, etc)</t>
  </si>
  <si>
    <r>
      <t>Raison de l'achat :</t>
    </r>
    <r>
      <rPr>
        <sz val="11"/>
        <rFont val="Calibri"/>
        <family val="2"/>
        <scheme val="minor"/>
      </rPr>
      <t xml:space="preserve">
</t>
    </r>
  </si>
  <si>
    <r>
      <t>Quantité</t>
    </r>
    <r>
      <rPr>
        <b/>
        <sz val="11"/>
        <rFont val="Calibri"/>
        <family val="2"/>
        <scheme val="minor"/>
      </rPr>
      <t xml:space="preserve"> :
</t>
    </r>
    <r>
      <rPr>
        <sz val="11"/>
        <rFont val="Calibri"/>
        <family val="2"/>
        <scheme val="minor"/>
      </rPr>
      <t>(quantité totale)</t>
    </r>
  </si>
  <si>
    <t>Pour les équipements, y a-t-il des consommables dédiés ?</t>
  </si>
  <si>
    <t xml:space="preserve">Faut-il prévoir de la maintenance ?
</t>
  </si>
  <si>
    <r>
      <rPr>
        <b/>
        <u/>
        <sz val="11"/>
        <rFont val="Calibri"/>
        <family val="2"/>
        <scheme val="minor"/>
      </rPr>
      <t>Formation à prévoir</t>
    </r>
    <r>
      <rPr>
        <b/>
        <sz val="11"/>
        <rFont val="Calibri"/>
        <family val="2"/>
        <scheme val="minor"/>
      </rPr>
      <t xml:space="preserve"> </t>
    </r>
    <r>
      <rPr>
        <sz val="11"/>
        <rFont val="Calibri"/>
        <family val="2"/>
        <scheme val="minor"/>
      </rPr>
      <t>(Oui/Non)</t>
    </r>
  </si>
  <si>
    <t>Plusieurs interventions de l'IT (équipement, connexions,  intégrations)</t>
  </si>
  <si>
    <t>FLA</t>
  </si>
  <si>
    <r>
      <rPr>
        <b/>
        <u/>
        <sz val="11"/>
        <rFont val="Calibri"/>
        <family val="2"/>
        <scheme val="minor"/>
      </rPr>
      <t>Si remplacement de matériel</t>
    </r>
    <r>
      <rPr>
        <sz val="11"/>
        <rFont val="Calibri"/>
        <family val="2"/>
        <scheme val="minor"/>
      </rPr>
      <t xml:space="preserve">, indiquer </t>
    </r>
    <r>
      <rPr>
        <b/>
        <sz val="11"/>
        <rFont val="Calibri"/>
        <family val="2"/>
        <scheme val="minor"/>
      </rPr>
      <t xml:space="preserve">marque/modèle/année </t>
    </r>
    <r>
      <rPr>
        <sz val="11"/>
        <rFont val="Calibri"/>
        <family val="2"/>
        <scheme val="minor"/>
      </rPr>
      <t>du matériel à remplacer</t>
    </r>
  </si>
  <si>
    <t>Remplacement /éch standard matériel vétuste ou défectueux</t>
  </si>
  <si>
    <t>Remplacement /éch standard matériel cassé par une mauvaise manipulation</t>
  </si>
  <si>
    <r>
      <rPr>
        <b/>
        <u/>
        <sz val="11"/>
        <rFont val="Calibri"/>
        <family val="2"/>
        <scheme val="minor"/>
      </rPr>
      <t>Motivation de l'achat</t>
    </r>
    <r>
      <rPr>
        <sz val="11"/>
        <rFont val="Calibri"/>
        <family val="2"/>
        <scheme val="minor"/>
      </rPr>
      <t xml:space="preserve"> : 
en quoi cet achat est </t>
    </r>
    <r>
      <rPr>
        <b/>
        <u/>
        <sz val="11"/>
        <rFont val="Calibri"/>
        <family val="2"/>
        <scheme val="minor"/>
      </rPr>
      <t>ESSENTIEL</t>
    </r>
    <r>
      <rPr>
        <sz val="11"/>
        <rFont val="Calibri"/>
        <family val="2"/>
        <scheme val="minor"/>
      </rPr>
      <t xml:space="preserve"> pour l'activité de l'hôpital. 
Si remplacement, spécifier les circonstances de la casse/perte</t>
    </r>
  </si>
  <si>
    <r>
      <t xml:space="preserve">Objet : que souhaitez-vous acheter ? 
</t>
    </r>
    <r>
      <rPr>
        <sz val="11"/>
        <rFont val="Calibri"/>
        <family val="2"/>
        <scheme val="minor"/>
      </rPr>
      <t>Si matériel, indiquer marque et modèle du matériel souhaité</t>
    </r>
  </si>
  <si>
    <r>
      <t xml:space="preserve">Budget :
</t>
    </r>
    <r>
      <rPr>
        <sz val="11"/>
        <rFont val="Calibri"/>
        <family val="2"/>
        <scheme val="minor"/>
      </rPr>
      <t>Si investissement, est-ce qu'un budget est prévu pour l'année en cours ?
(choisir parmi les options)</t>
    </r>
  </si>
  <si>
    <t xml:space="preserve">Oui </t>
  </si>
  <si>
    <t xml:space="preserve">Non </t>
  </si>
  <si>
    <t>En cours de demande à la cellule budget</t>
  </si>
  <si>
    <t>Commentaires éventuels liés au budget / estimation :</t>
  </si>
  <si>
    <r>
      <rPr>
        <b/>
        <u/>
        <sz val="11"/>
        <rFont val="Calibri"/>
        <family val="2"/>
        <scheme val="minor"/>
      </rPr>
      <t xml:space="preserve">Informatique : </t>
    </r>
    <r>
      <rPr>
        <sz val="11"/>
        <rFont val="Calibri"/>
        <family val="2"/>
        <scheme val="minor"/>
      </rPr>
      <t>L’installation du matériel nécessite -t-elle de l'équipement IT (PC, serveur, etc.), une connexion (Wifi, câble) ou une  intégration (DPI, etc.)
(choisir parmi les options)</t>
    </r>
  </si>
  <si>
    <r>
      <t xml:space="preserve">Si connu =&gt;
Estimation des </t>
    </r>
    <r>
      <rPr>
        <b/>
        <sz val="11"/>
        <rFont val="Calibri"/>
        <family val="2"/>
        <scheme val="minor"/>
      </rPr>
      <t xml:space="preserve">coûts INFORMATIQUE € TVAC </t>
    </r>
  </si>
  <si>
    <r>
      <t xml:space="preserve">Si connu =&gt;
Estimation des </t>
    </r>
    <r>
      <rPr>
        <b/>
        <sz val="11"/>
        <rFont val="Calibri"/>
        <family val="2"/>
        <scheme val="minor"/>
      </rPr>
      <t>TRAVAUX € TVAC</t>
    </r>
    <r>
      <rPr>
        <sz val="11"/>
        <rFont val="Calibri"/>
        <family val="2"/>
        <scheme val="minor"/>
      </rPr>
      <t xml:space="preserve"> </t>
    </r>
  </si>
  <si>
    <t xml:space="preserve">Coûts informatiques € TVAC </t>
  </si>
  <si>
    <t xml:space="preserve">Montant travaux nécessaires : </t>
  </si>
  <si>
    <r>
      <t xml:space="preserve">Pour le matériel MEDICAL </t>
    </r>
    <r>
      <rPr>
        <b/>
        <u/>
        <sz val="11"/>
        <color rgb="FFFF0000"/>
        <rFont val="Calibri"/>
        <family val="2"/>
        <scheme val="minor"/>
      </rPr>
      <t xml:space="preserve">&gt; 30.000 € TVAC </t>
    </r>
    <r>
      <rPr>
        <b/>
        <u/>
        <sz val="11"/>
        <rFont val="Calibri"/>
        <family val="2"/>
        <scheme val="minor"/>
      </rPr>
      <t>=&gt; Calcul du coût réel pour l'hôpital :</t>
    </r>
    <r>
      <rPr>
        <sz val="11"/>
        <rFont val="Calibri"/>
        <family val="2"/>
        <scheme val="minor"/>
      </rPr>
      <t xml:space="preserve"> </t>
    </r>
  </si>
  <si>
    <r>
      <t xml:space="preserve">Objet : que souhaitez-vous acheter ? 
</t>
    </r>
    <r>
      <rPr>
        <sz val="11"/>
        <rFont val="Calibri"/>
        <family val="2"/>
        <scheme val="minor"/>
      </rPr>
      <t>Si matériel/équipement, indiquer marque et modèle du matériel souhaité</t>
    </r>
  </si>
  <si>
    <r>
      <rPr>
        <b/>
        <u/>
        <sz val="11"/>
        <rFont val="Calibri"/>
        <family val="2"/>
        <scheme val="minor"/>
      </rPr>
      <t xml:space="preserve">Reprise souhaitée </t>
    </r>
    <r>
      <rPr>
        <sz val="11"/>
        <rFont val="Calibri"/>
        <family val="2"/>
        <scheme val="minor"/>
      </rPr>
      <t>de l'ancien matériel par la firme 
(Choisir parmi les options)</t>
    </r>
  </si>
  <si>
    <t xml:space="preserve"> DATE DERNIERE MAJ : 17/09/2025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</si>
</sst>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8" x14ac:knownFonts="1">
    <font>
      <sz val="11"/>
      <color theme="1"/>
      <name val="Calibri"/>
      <family val="2"/>
      <scheme val="minor"/>
    </font>
    <font>
      <b/>
      <u/>
      <sz val="11"/>
      <color theme="1"/>
      <name val="Calibri"/>
      <family val="2"/>
      <scheme val="minor"/>
    </font>
    <font>
      <sz val="11"/>
      <name val="Calibri"/>
      <family val="2"/>
      <scheme val="minor"/>
    </font>
    <font>
      <b/>
      <u/>
      <sz val="11"/>
      <name val="Calibri"/>
      <family val="2"/>
      <scheme val="minor"/>
    </font>
    <font>
      <b/>
      <sz val="11"/>
      <color theme="1"/>
      <name val="Calibri"/>
      <family val="2"/>
      <scheme val="minor"/>
    </font>
    <font>
      <b/>
      <sz val="11"/>
      <color theme="0"/>
      <name val="Calibri"/>
      <family val="2"/>
      <scheme val="minor"/>
    </font>
    <font>
      <b/>
      <sz val="11"/>
      <name val="Calibri"/>
      <family val="2"/>
      <scheme val="minor"/>
    </font>
    <font>
      <b/>
      <sz val="16"/>
      <name val="Calibri"/>
      <family val="2"/>
      <scheme val="minor"/>
    </font>
    <font>
      <sz val="16"/>
      <name val="Calibri"/>
      <family val="2"/>
      <scheme val="minor"/>
    </font>
    <font>
      <b/>
      <u/>
      <sz val="14"/>
      <name val="Calibri"/>
      <family val="2"/>
      <scheme val="minor"/>
    </font>
    <font>
      <sz val="14"/>
      <name val="Calibri"/>
      <family val="2"/>
      <scheme val="minor"/>
    </font>
    <font>
      <sz val="9"/>
      <name val="Calibri"/>
      <family val="2"/>
      <scheme val="minor"/>
    </font>
    <font>
      <u/>
      <sz val="11"/>
      <color theme="10"/>
      <name val="Calibri"/>
      <family val="2"/>
      <scheme val="minor"/>
    </font>
    <font>
      <b/>
      <sz val="11"/>
      <color rgb="FFFF0000"/>
      <name val="Calibri"/>
      <family val="2"/>
      <scheme val="minor"/>
    </font>
    <font>
      <sz val="11"/>
      <color rgb="FFFF0000"/>
      <name val="Calibri"/>
      <family val="2"/>
      <scheme val="minor"/>
    </font>
    <font>
      <b/>
      <u/>
      <sz val="12"/>
      <color rgb="FFC00000"/>
      <name val="Calibri"/>
      <family val="2"/>
      <scheme val="minor"/>
    </font>
    <font>
      <b/>
      <sz val="12"/>
      <color rgb="FFC00000"/>
      <name val="Calibri"/>
      <family val="2"/>
      <scheme val="minor"/>
    </font>
    <font>
      <b/>
      <u/>
      <sz val="11"/>
      <color rgb="FFFF0000"/>
      <name val="Calibri"/>
      <family val="2"/>
      <scheme val="minor"/>
    </font>
  </fonts>
  <fills count="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s>
  <borders count="33">
    <border>
      <left/>
      <right/>
      <top/>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theme="3" tint="-0.24994659260841701"/>
      </left>
      <right/>
      <top/>
      <bottom/>
      <diagonal/>
    </border>
    <border>
      <left style="medium">
        <color rgb="FF00B050"/>
      </left>
      <right/>
      <top/>
      <bottom style="mediumDashed">
        <color rgb="FF00B050"/>
      </bottom>
      <diagonal/>
    </border>
    <border>
      <left/>
      <right/>
      <top/>
      <bottom style="mediumDashed">
        <color rgb="FF00B050"/>
      </bottom>
      <diagonal/>
    </border>
    <border>
      <left/>
      <right style="medium">
        <color rgb="FF00B050"/>
      </right>
      <top/>
      <bottom style="mediumDashed">
        <color rgb="FF00B050"/>
      </bottom>
      <diagonal/>
    </border>
    <border>
      <left/>
      <right/>
      <top/>
      <bottom style="dotted">
        <color auto="1"/>
      </bottom>
      <diagonal/>
    </border>
    <border>
      <left/>
      <right/>
      <top style="dotted">
        <color auto="1"/>
      </top>
      <bottom style="dotted">
        <color auto="1"/>
      </bottom>
      <diagonal/>
    </border>
    <border>
      <left/>
      <right/>
      <top style="dotted">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06">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right" wrapText="1"/>
    </xf>
    <xf numFmtId="0" fontId="0" fillId="0" borderId="4" xfId="0" applyBorder="1" applyAlignment="1">
      <alignment horizontal="right" wrapText="1"/>
    </xf>
    <xf numFmtId="0" fontId="0" fillId="0" borderId="5" xfId="0" applyBorder="1" applyAlignment="1">
      <alignment horizontal="left" wrapText="1"/>
    </xf>
    <xf numFmtId="0" fontId="0" fillId="0" borderId="6" xfId="0" applyBorder="1" applyAlignment="1">
      <alignment horizontal="right" wrapText="1"/>
    </xf>
    <xf numFmtId="0" fontId="0" fillId="0" borderId="7" xfId="0" applyBorder="1" applyAlignment="1">
      <alignment horizontal="right" wrapText="1"/>
    </xf>
    <xf numFmtId="0" fontId="0" fillId="0" borderId="8" xfId="0" applyBorder="1" applyAlignment="1">
      <alignment horizontal="left" wrapText="1"/>
    </xf>
    <xf numFmtId="0" fontId="2" fillId="0" borderId="5" xfId="0" applyFont="1" applyBorder="1" applyAlignment="1">
      <alignment horizontal="left" vertical="center"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horizontal="right" wrapText="1"/>
    </xf>
    <xf numFmtId="0" fontId="0" fillId="0" borderId="10" xfId="0" applyBorder="1" applyAlignment="1">
      <alignment horizontal="right" wrapText="1"/>
    </xf>
    <xf numFmtId="0" fontId="0" fillId="0" borderId="11" xfId="0" applyBorder="1" applyAlignment="1">
      <alignment horizontal="right" wrapText="1"/>
    </xf>
    <xf numFmtId="0" fontId="0" fillId="0" borderId="12" xfId="0" applyBorder="1" applyAlignment="1">
      <alignment horizontal="left" wrapText="1"/>
    </xf>
    <xf numFmtId="0" fontId="5" fillId="2" borderId="0" xfId="0" applyFont="1" applyFill="1" applyAlignment="1" applyProtection="1">
      <alignment horizontal="center" vertical="center" wrapText="1"/>
      <protection locked="0"/>
    </xf>
    <xf numFmtId="0" fontId="5" fillId="3" borderId="0" xfId="0" applyFont="1" applyFill="1" applyAlignment="1" applyProtection="1">
      <alignment horizontal="center" vertical="center" wrapText="1"/>
      <protection locked="0"/>
    </xf>
    <xf numFmtId="0" fontId="0" fillId="0" borderId="0" xfId="0" applyAlignment="1" applyProtection="1">
      <alignment horizontal="center" wrapText="1"/>
      <protection locked="0"/>
    </xf>
    <xf numFmtId="0" fontId="0" fillId="0" borderId="0" xfId="0" applyAlignment="1" applyProtection="1">
      <alignment wrapText="1"/>
      <protection locked="0"/>
    </xf>
    <xf numFmtId="0" fontId="0" fillId="0" borderId="6" xfId="0" applyBorder="1" applyAlignment="1">
      <alignment horizontal="right" vertical="top" wrapText="1"/>
    </xf>
    <xf numFmtId="0" fontId="0" fillId="0" borderId="13" xfId="0" applyBorder="1" applyAlignment="1" applyProtection="1">
      <alignment horizontal="left" wrapText="1"/>
      <protection locked="0"/>
    </xf>
    <xf numFmtId="0" fontId="0" fillId="0" borderId="13" xfId="0" quotePrefix="1" applyBorder="1" applyAlignment="1" applyProtection="1">
      <alignment wrapText="1"/>
      <protection locked="0"/>
    </xf>
    <xf numFmtId="0" fontId="0" fillId="0" borderId="13" xfId="0" applyBorder="1" applyAlignment="1" applyProtection="1">
      <alignment wrapText="1"/>
      <protection locked="0"/>
    </xf>
    <xf numFmtId="0" fontId="0" fillId="0" borderId="14" xfId="0" applyBorder="1" applyAlignment="1" applyProtection="1">
      <alignment horizontal="left" wrapText="1"/>
      <protection locked="0"/>
    </xf>
    <xf numFmtId="0" fontId="0" fillId="0" borderId="14" xfId="0" applyBorder="1" applyAlignment="1" applyProtection="1">
      <alignment wrapText="1"/>
      <protection locked="0"/>
    </xf>
    <xf numFmtId="0" fontId="0" fillId="0" borderId="15" xfId="0" applyBorder="1" applyAlignment="1" applyProtection="1">
      <alignment horizontal="left" wrapText="1"/>
      <protection locked="0"/>
    </xf>
    <xf numFmtId="0" fontId="0" fillId="0" borderId="15" xfId="0" applyBorder="1" applyAlignment="1" applyProtection="1">
      <alignment wrapText="1"/>
      <protection locked="0"/>
    </xf>
    <xf numFmtId="0" fontId="0" fillId="0" borderId="22" xfId="0" applyBorder="1" applyAlignment="1">
      <alignment horizontal="left" vertical="center" wrapText="1"/>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5" fillId="5" borderId="0" xfId="0" applyFont="1" applyFill="1" applyAlignment="1" applyProtection="1">
      <alignment horizontal="center" vertical="center" wrapText="1"/>
      <protection locked="0"/>
    </xf>
    <xf numFmtId="0" fontId="6" fillId="0" borderId="4" xfId="0" applyFont="1" applyBorder="1" applyAlignment="1">
      <alignment horizontal="right" vertical="center" wrapText="1"/>
    </xf>
    <xf numFmtId="0" fontId="2" fillId="0" borderId="0" xfId="0" applyFont="1" applyAlignment="1">
      <alignment horizontal="right" vertical="center" wrapText="1"/>
    </xf>
    <xf numFmtId="0" fontId="6" fillId="0" borderId="4" xfId="0" applyFont="1" applyBorder="1" applyAlignment="1">
      <alignment horizontal="right" wrapText="1"/>
    </xf>
    <xf numFmtId="0" fontId="2" fillId="0" borderId="0" xfId="0" applyFont="1" applyAlignment="1">
      <alignment horizontal="right" wrapText="1"/>
    </xf>
    <xf numFmtId="0" fontId="0" fillId="0" borderId="18" xfId="0" applyBorder="1" applyAlignment="1">
      <alignment horizontal="left" vertical="center" wrapText="1"/>
    </xf>
    <xf numFmtId="0" fontId="2" fillId="0" borderId="30" xfId="0" applyFont="1" applyBorder="1" applyAlignment="1" applyProtection="1">
      <alignment horizontal="left" vertical="center" wrapText="1"/>
      <protection locked="0"/>
    </xf>
    <xf numFmtId="14" fontId="2" fillId="0" borderId="26" xfId="0" applyNumberFormat="1" applyFont="1" applyBorder="1" applyAlignment="1" applyProtection="1">
      <alignment horizontal="left" vertical="center" wrapText="1"/>
      <protection locked="0"/>
    </xf>
    <xf numFmtId="0" fontId="2" fillId="0" borderId="28" xfId="0" applyFont="1" applyBorder="1" applyAlignment="1" applyProtection="1">
      <alignment horizontal="left" vertical="center" wrapText="1"/>
      <protection locked="0"/>
    </xf>
    <xf numFmtId="14" fontId="2" fillId="0" borderId="30" xfId="0" applyNumberFormat="1" applyFont="1" applyBorder="1" applyAlignment="1" applyProtection="1">
      <alignment horizontal="left" vertical="center" wrapText="1"/>
      <protection locked="0"/>
    </xf>
    <xf numFmtId="164" fontId="2" fillId="0" borderId="28" xfId="0" applyNumberFormat="1" applyFont="1" applyBorder="1" applyAlignment="1" applyProtection="1">
      <alignment horizontal="left" vertical="center" wrapText="1"/>
      <protection locked="0"/>
    </xf>
    <xf numFmtId="164" fontId="2" fillId="0" borderId="30" xfId="0" applyNumberFormat="1" applyFont="1" applyBorder="1" applyAlignment="1" applyProtection="1">
      <alignment horizontal="left" vertical="center" wrapText="1"/>
      <protection locked="0"/>
    </xf>
    <xf numFmtId="0" fontId="10" fillId="0" borderId="28" xfId="0" applyFont="1" applyBorder="1" applyAlignment="1" applyProtection="1">
      <alignment vertical="center" wrapText="1"/>
      <protection locked="0"/>
    </xf>
    <xf numFmtId="0" fontId="12" fillId="0" borderId="0" xfId="1" applyFill="1" applyBorder="1" applyAlignment="1" applyProtection="1">
      <alignment horizontal="left" vertical="center" wrapText="1"/>
    </xf>
    <xf numFmtId="2" fontId="0" fillId="0" borderId="0" xfId="0" applyNumberFormat="1"/>
    <xf numFmtId="2" fontId="4" fillId="0" borderId="0" xfId="0" applyNumberFormat="1" applyFont="1"/>
    <xf numFmtId="2" fontId="0" fillId="0" borderId="0" xfId="0" applyNumberFormat="1" applyAlignment="1">
      <alignment wrapText="1"/>
    </xf>
    <xf numFmtId="2" fontId="13" fillId="0" borderId="0" xfId="0" applyNumberFormat="1" applyFont="1"/>
    <xf numFmtId="2" fontId="14" fillId="0" borderId="0" xfId="0" applyNumberFormat="1" applyFont="1"/>
    <xf numFmtId="10" fontId="2" fillId="0" borderId="28" xfId="0" applyNumberFormat="1" applyFont="1" applyBorder="1" applyAlignment="1" applyProtection="1">
      <alignment horizontal="left" vertical="center" wrapText="1"/>
      <protection locked="0"/>
    </xf>
    <xf numFmtId="0" fontId="15" fillId="6" borderId="23" xfId="0" applyFont="1" applyFill="1" applyBorder="1" applyAlignment="1">
      <alignment horizontal="center" vertical="center" wrapText="1"/>
    </xf>
    <xf numFmtId="0" fontId="16" fillId="6" borderId="24" xfId="0" applyFont="1" applyFill="1" applyBorder="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horizontal="left" vertical="center" wrapText="1"/>
    </xf>
    <xf numFmtId="0" fontId="12" fillId="0" borderId="0" xfId="1" applyAlignment="1" applyProtection="1">
      <alignment horizontal="left" vertical="center" wrapText="1"/>
    </xf>
    <xf numFmtId="0" fontId="2" fillId="0" borderId="25" xfId="0" applyFont="1" applyBorder="1" applyAlignment="1">
      <alignment vertical="center" wrapText="1"/>
    </xf>
    <xf numFmtId="0" fontId="6" fillId="0" borderId="27" xfId="0" applyFont="1" applyBorder="1" applyAlignment="1">
      <alignmen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2" fillId="0" borderId="0" xfId="0" applyFont="1" applyAlignment="1">
      <alignment horizontal="left" vertical="center" wrapText="1"/>
    </xf>
    <xf numFmtId="0" fontId="3" fillId="0" borderId="27" xfId="0" applyFont="1" applyBorder="1" applyAlignment="1">
      <alignment vertical="center" wrapText="1"/>
    </xf>
    <xf numFmtId="0" fontId="2" fillId="0" borderId="0" xfId="0" applyFont="1" applyAlignment="1">
      <alignment horizontal="center" vertical="center" wrapText="1"/>
    </xf>
    <xf numFmtId="0" fontId="2" fillId="0" borderId="27" xfId="0" applyFont="1" applyBorder="1" applyAlignment="1">
      <alignment vertical="center" wrapText="1"/>
    </xf>
    <xf numFmtId="0" fontId="2" fillId="0" borderId="27" xfId="0" applyFont="1" applyBorder="1" applyAlignment="1">
      <alignment horizontal="left" vertical="center" wrapText="1"/>
    </xf>
    <xf numFmtId="0" fontId="6" fillId="0" borderId="29" xfId="0" applyFont="1" applyBorder="1" applyAlignment="1">
      <alignment vertical="center" wrapText="1"/>
    </xf>
    <xf numFmtId="14" fontId="2" fillId="0" borderId="30" xfId="0" applyNumberFormat="1" applyFont="1" applyBorder="1" applyAlignment="1">
      <alignment horizontal="left" vertical="center" wrapText="1"/>
    </xf>
    <xf numFmtId="0" fontId="2" fillId="4" borderId="0" xfId="0" applyFont="1" applyFill="1" applyAlignment="1">
      <alignment horizontal="left" vertical="center" wrapText="1"/>
    </xf>
    <xf numFmtId="0" fontId="3" fillId="0" borderId="27" xfId="0" applyFont="1" applyBorder="1" applyAlignment="1">
      <alignment horizontal="left" vertical="center" wrapText="1"/>
    </xf>
    <xf numFmtId="164" fontId="2" fillId="0" borderId="28" xfId="0" applyNumberFormat="1" applyFont="1" applyBorder="1" applyAlignment="1">
      <alignment horizontal="left" vertical="center" wrapText="1"/>
    </xf>
    <xf numFmtId="164" fontId="2" fillId="0" borderId="30" xfId="0" applyNumberFormat="1" applyFont="1" applyBorder="1" applyAlignment="1">
      <alignment horizontal="left" vertical="center" wrapText="1"/>
    </xf>
    <xf numFmtId="0" fontId="2" fillId="0" borderId="19" xfId="0" applyFont="1" applyBorder="1" applyAlignment="1">
      <alignment horizontal="left" vertical="center" wrapText="1"/>
    </xf>
    <xf numFmtId="0" fontId="2" fillId="0" borderId="21" xfId="0" applyFont="1" applyBorder="1" applyAlignment="1">
      <alignment horizontal="left" vertical="center" wrapText="1"/>
    </xf>
    <xf numFmtId="10" fontId="2" fillId="0" borderId="28" xfId="0" applyNumberFormat="1" applyFont="1" applyBorder="1" applyAlignment="1">
      <alignment horizontal="left" vertical="center" wrapText="1"/>
    </xf>
    <xf numFmtId="0" fontId="3" fillId="0" borderId="29" xfId="0" applyFont="1" applyBorder="1" applyAlignment="1">
      <alignment horizontal="left" vertical="center" wrapText="1"/>
    </xf>
    <xf numFmtId="0" fontId="6" fillId="0" borderId="27" xfId="0" applyFont="1" applyBorder="1" applyAlignment="1">
      <alignment horizontal="left" vertical="center" wrapText="1"/>
    </xf>
    <xf numFmtId="0" fontId="2" fillId="0" borderId="19" xfId="0" applyFont="1" applyBorder="1" applyAlignment="1">
      <alignment vertical="center" wrapText="1"/>
    </xf>
    <xf numFmtId="0" fontId="6" fillId="0" borderId="31" xfId="0" applyFont="1" applyBorder="1" applyAlignment="1">
      <alignment vertical="center" wrapText="1"/>
    </xf>
    <xf numFmtId="0" fontId="2" fillId="0" borderId="32" xfId="0" applyFont="1" applyBorder="1" applyAlignment="1">
      <alignment horizontal="left" vertical="center" wrapText="1"/>
    </xf>
    <xf numFmtId="0" fontId="6" fillId="0" borderId="29" xfId="0" applyFont="1" applyBorder="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16" xfId="0" applyFont="1" applyBorder="1" applyAlignment="1">
      <alignment horizontal="center" vertical="center" wrapText="1"/>
    </xf>
    <xf numFmtId="0" fontId="10" fillId="0" borderId="18" xfId="0" applyFont="1" applyBorder="1" applyAlignment="1">
      <alignment vertical="center" wrapText="1"/>
    </xf>
    <xf numFmtId="0" fontId="3" fillId="0" borderId="27" xfId="0" applyFont="1" applyBorder="1" applyAlignment="1">
      <alignment horizontal="left" vertical="center" wrapText="1"/>
    </xf>
    <xf numFmtId="0" fontId="0" fillId="0" borderId="28" xfId="0" applyBorder="1" applyAlignment="1">
      <alignment horizontal="left" vertical="center"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0" fillId="0" borderId="21" xfId="0" applyBorder="1" applyAlignment="1">
      <alignment horizontal="left" vertical="center" wrapText="1"/>
    </xf>
    <xf numFmtId="0" fontId="6" fillId="0" borderId="20" xfId="0" applyFont="1" applyBorder="1" applyAlignment="1">
      <alignment horizontal="right" wrapText="1"/>
    </xf>
    <xf numFmtId="0" fontId="6" fillId="0" borderId="21" xfId="0" applyFont="1" applyBorder="1" applyAlignment="1">
      <alignment horizontal="right" wrapText="1"/>
    </xf>
    <xf numFmtId="0" fontId="6" fillId="0" borderId="16" xfId="0" applyFont="1" applyBorder="1" applyAlignment="1">
      <alignment horizontal="right" wrapText="1"/>
    </xf>
    <xf numFmtId="0" fontId="6" fillId="0" borderId="17" xfId="0" applyFont="1" applyBorder="1" applyAlignment="1">
      <alignment horizontal="right" wrapText="1"/>
    </xf>
    <xf numFmtId="0" fontId="0" fillId="0" borderId="17" xfId="0" applyBorder="1" applyAlignment="1">
      <alignment horizontal="left" vertical="center" wrapText="1"/>
    </xf>
    <xf numFmtId="0" fontId="6" fillId="0" borderId="17" xfId="0" applyFont="1" applyBorder="1" applyAlignment="1">
      <alignment wrapText="1"/>
    </xf>
    <xf numFmtId="0" fontId="0" fillId="0" borderId="21" xfId="0" applyBorder="1" applyAlignment="1">
      <alignment horizontal="right" vertical="center" wrapText="1"/>
    </xf>
    <xf numFmtId="0" fontId="0" fillId="0" borderId="17" xfId="0"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7%20Proc&#233;dures%20et%20m&#233;thodes/03%20Templates%20et%20documents/02%20Achats/14%20Fiche%20interservices/Fiche%20interservices%202021%2011%2017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che demandeur 1-4"/>
      <sheetName val="1 Fiche demandeur 2-4"/>
      <sheetName val="1 Fiche demandeur 3-4"/>
      <sheetName val="1 Fiche demandeur 4-4"/>
      <sheetName val="2 Fiche Technique 1-2"/>
      <sheetName val="2 Fiche Technique 2-2"/>
      <sheetName val="3 Fiche IT 1-3"/>
      <sheetName val="3 Fiche IT 2-3"/>
      <sheetName val="3 Fiche IT 3-3"/>
      <sheetName val="4 Fiche RGPD"/>
      <sheetName val="5 Fiche achats 1-2"/>
      <sheetName val="5 Fiche achats 2-2"/>
      <sheetName val="Liste"/>
      <sheetName val="Data"/>
      <sheetName val="Fiche interservices 2021 11 17v"/>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B1" t="str">
            <v>Direction_Générale</v>
          </cell>
          <cell r="C1" t="str">
            <v>Détails_finalités</v>
          </cell>
        </row>
        <row r="2">
          <cell r="B2" t="str">
            <v xml:space="preserve">Gestion des plaintes </v>
          </cell>
          <cell r="C2" t="str">
            <v xml:space="preserve">Gestion des plaintes (médicales ou non médicales) des patients – classement sans suite, médiation, contentieux (finances)… </v>
          </cell>
        </row>
        <row r="3">
          <cell r="B3" t="str">
            <v>Médiation (patients)</v>
          </cell>
          <cell r="C3" t="str">
            <v>Service de médiation pour la gestion des plaintes des patients (obligation légale)Service de médiation hospitalière( Promotion de la communication entre le patient et le praticien profesionnel par le biais d'actions préventives afin d'éviter les plaintes;Si plainte le médiateur estimera si lien ou non avec la loi sur les droits du patient et si oui, il tentera de résoudre le conflit avec le concours des parties intéressées)</v>
          </cell>
        </row>
        <row r="4">
          <cell r="B4" t="str">
            <v>Communication externe</v>
          </cell>
          <cell r="C4" t="str">
            <v>Relations publiques</v>
          </cell>
        </row>
        <row r="5">
          <cell r="B5" t="str">
            <v>Audit interne</v>
          </cell>
        </row>
        <row r="6">
          <cell r="B6" t="str">
            <v xml:space="preserve">Relations avec les organes de gouvernance  </v>
          </cell>
          <cell r="C6" t="str">
            <v>Relation avec les membres du Conseil d’administration, du Bureau permanent, de l’AG - et les organces d'avis, réviseurs</v>
          </cell>
        </row>
        <row r="7">
          <cell r="B7" t="str">
            <v>Service juridique</v>
          </cell>
          <cell r="C7" t="str">
            <v>Suivi de dossiers de plaintes, conflits, contentieux pour fournir du conseil juridique</v>
          </cell>
        </row>
        <row r="8">
          <cell r="B8" t="str">
            <v>Protection des données</v>
          </cell>
          <cell r="C8" t="str">
            <v xml:space="preserve">- Gestion des contacts avec les départements, sous-traitants ou partenaires hospitaliers pour fournir des avis en protection des données 
- Gestion du registre des traitements
</v>
          </cell>
        </row>
        <row r="9">
          <cell r="B9" t="str">
            <v>Conseiller en sécurité</v>
          </cell>
          <cell r="C9" t="str">
            <v xml:space="preserve">- Gestion des contacts avec les départements, sous-traitants, partenaires hospitaliers pour la gestion de la sécurité
- Audit et contrôle des systèmes (journalisation) imposés par les Circulaires applicables aux hôpitaux ou des réquisitions judiciaires
- Enquêtes en cas d’incidents de sécurité (confidentialité, intégrité, disponibilité)
</v>
          </cell>
        </row>
        <row r="10">
          <cell r="B10" t="str">
            <v xml:space="preserve">Traitements du Service interne de Prévention et de Protection </v>
          </cell>
          <cell r="C10" t="str">
            <v xml:space="preserve">- Accidents de travail et chemin de travail pour le volet préventionX
- Recommandation médicale du travail
- Gestion de la dosimétrie individuelle des travailleurs exposés aux radiations ionisantes (médecins et externes y compris)
- Gestion des faits de violence et transmissions des déclarations de faits à la police et au contrat de sécurité à la ville de Liège pour les médecins, patients, agents du CHR et visiteurs.
</v>
          </cell>
        </row>
        <row r="11">
          <cell r="B11" t="str">
            <v>Gestion parc auto, essence voiture (Service juridique)</v>
          </cell>
          <cell r="C11" t="str">
            <v>Gestion parc auto, essence voiture</v>
          </cell>
        </row>
        <row r="12">
          <cell r="B12" t="str">
            <v>Relations avec les organisations syndicales</v>
          </cell>
          <cell r="C12" t="str">
            <v>Relations avec les organisations syndicales</v>
          </cell>
        </row>
        <row r="13">
          <cell r="B13" t="str">
            <v xml:space="preserve">Gestion des violations de sécurité des données personnelles  </v>
          </cell>
          <cell r="C13" t="str">
            <v>Tenue d’un registre des violations de sécurité des données personnelles, notifications aux autorités de contrôle/personnes concernées</v>
          </cell>
        </row>
        <row r="14">
          <cell r="B14" t="str">
            <v>Contrôle de gestion</v>
          </cell>
          <cell r="C14" t="str">
            <v>Gestion du budget et analyse financière</v>
          </cell>
        </row>
        <row r="15">
          <cell r="B15" t="str">
            <v>Médical_Pharmacie</v>
          </cell>
          <cell r="C15" t="str">
            <v>Colonne1</v>
          </cell>
        </row>
        <row r="16">
          <cell r="B16" t="str">
            <v>Gestion des dossiers patients (médical)</v>
          </cell>
          <cell r="C16" t="str">
            <v>Obligation légale de tenue d’un dossier patient consultable par les médecins</v>
          </cell>
        </row>
        <row r="17">
          <cell r="B17" t="str">
            <v xml:space="preserve">Gestion des soins médicaux au patient </v>
          </cell>
          <cell r="C17" t="str">
            <v>Suivi et gestion des actes médicaux, appareils de surveillance (monitoring),…Y compris encodage des prestations électroniques pour la facturation</v>
          </cell>
        </row>
        <row r="18">
          <cell r="B18" t="str">
            <v>Gestion du plan thérapeutique</v>
          </cell>
          <cell r="C18" t="str">
            <v>Prescription des médicaments et des traitements non médicamenteux</v>
          </cell>
        </row>
        <row r="19">
          <cell r="B19" t="str">
            <v>Gestion du plan de soins</v>
          </cell>
          <cell r="C19" t="str">
            <v>Prescription et suivi des examens complémentaires et de laboratoire</v>
          </cell>
        </row>
        <row r="20">
          <cell r="B20" t="str">
            <v>Gestion de la continuité des soins</v>
          </cell>
          <cell r="C20" t="str">
            <v>Rédaction des notes cliniques de suivi du patient et du rapport de sortie</v>
          </cell>
        </row>
        <row r="21">
          <cell r="B21" t="str">
            <v>Gestion du patient opéré</v>
          </cell>
          <cell r="C21" t="str">
            <v>Screening pré-opératoire, surveillance pendant l’intervention, surveillance du réveil et du post-opératoire</v>
          </cell>
        </row>
        <row r="22">
          <cell r="B22" t="str">
            <v>Gestion des dossiers des médecins</v>
          </cell>
          <cell r="C22" t="str">
            <v>Obligation légale de tenir un registre avec des informations concernant chaque médecin (spécialisation, évaluation de qualité,)</v>
          </cell>
        </row>
        <row r="23">
          <cell r="B23" t="str">
            <v xml:space="preserve">Contribution au Résumé Hospitalier Minimum (RHM) du SPF Santé </v>
          </cell>
          <cell r="C23" t="str">
            <v xml:space="preserve">Obligation légale (A.R. du 27 avril 2007, 28 mars 2013 et 10 avril 2014) de fournir de l’information au SPF santé pour contribuer au RHM et obtenir les financements qui y sont liés. Les données sont codées selon des codes officiels établis. </v>
          </cell>
        </row>
        <row r="24">
          <cell r="B24" t="str">
            <v>Gestion des protocoles médicaux par le Secrétariat médical</v>
          </cell>
          <cell r="C24" t="str">
            <v xml:space="preserve">Organisation et envoi des protocoles médicaux aux médecins traitants sur la base des informations fournies par le médecin hospitalier. </v>
          </cell>
        </row>
        <row r="25">
          <cell r="B25" t="str">
            <v xml:space="preserve">Gestion des dossiers psychiatrique des patients </v>
          </cell>
          <cell r="C25" t="str">
            <v xml:space="preserve">Gestion des dossiers psychiatriques des patients </v>
          </cell>
        </row>
        <row r="26">
          <cell r="B26" t="str">
            <v>Gestion des plaintes concernant l’hygiène hospitalière</v>
          </cell>
          <cell r="C26" t="str">
            <v>Traitement des plaintes concernant l’hygiène hospitalière</v>
          </cell>
        </row>
        <row r="27">
          <cell r="B27" t="str">
            <v>Gestion des médicaments par la Pharmacie</v>
          </cell>
          <cell r="C27" t="str">
            <v>Préparation de médicaments, gestion des traitements des patients par la Pharmacie</v>
          </cell>
        </row>
        <row r="28">
          <cell r="B28" t="str">
            <v>Gestion des soins palliatifs</v>
          </cell>
          <cell r="C28" t="str">
            <v>Gestion des soins palliatifs par l’équipe mobile EMISCA</v>
          </cell>
        </row>
        <row r="29">
          <cell r="B29" t="str">
            <v xml:space="preserve">Gestion des accès de l’entité hospitalière au portail de la sécurité sociale </v>
          </cell>
          <cell r="C29" t="str">
            <v>Gestion des accès des médecins au portail du SPF de la sécurité sociale (e-health)</v>
          </cell>
        </row>
        <row r="30">
          <cell r="B30" t="str">
            <v>Gestion des détachements de médecins</v>
          </cell>
          <cell r="C30" t="str">
            <v>Gestion de détachements de médecins (conventions inter-hospitalières)</v>
          </cell>
        </row>
        <row r="31">
          <cell r="B31" t="str">
            <v>Gestion des plaintes médicales</v>
          </cell>
          <cell r="C31" t="str">
            <v>Suivi des plaintes médicales des patients</v>
          </cell>
        </row>
        <row r="32">
          <cell r="B32" t="str">
            <v xml:space="preserve">Gestion des contrats des médecins </v>
          </cell>
          <cell r="C32" t="str">
            <v>Gestion des contrats avec les médecins indépendants</v>
          </cell>
        </row>
        <row r="33">
          <cell r="B33" t="str">
            <v>Gestion de l’apprentissage (stagiaires)</v>
          </cell>
          <cell r="C33" t="str">
            <v xml:space="preserve">Gestion des stages en collaboration avec les Universités </v>
          </cell>
        </row>
        <row r="34">
          <cell r="B34" t="str">
            <v>Réalisation et Gestion des analyses biocliniques</v>
          </cell>
          <cell r="C34" t="str">
            <v>Analyses biocliniques par le laboratoire</v>
          </cell>
        </row>
        <row r="35">
          <cell r="B35" t="str">
            <v>Recherches cliniques</v>
          </cell>
          <cell r="C35" t="str">
            <v>Avis avant d’entamer une étude clinique médicamenteuse ou non</v>
          </cell>
        </row>
        <row r="36">
          <cell r="B36" t="str">
            <v>Gestion de la transmission des dossiers médicaux</v>
          </cell>
          <cell r="C36" t="str">
            <v>Gestion de la transmission des dossiers médicaux aux patients (ou représentant) ou  une instance judiciaire dans le cadre du respect de la Loi relative au droit du patient du 22 août 2002 et du Code Pénal.</v>
          </cell>
        </row>
        <row r="37">
          <cell r="B37" t="str">
            <v>Soins</v>
          </cell>
          <cell r="C37" t="str">
            <v>POLE2détails</v>
          </cell>
        </row>
        <row r="38">
          <cell r="B38" t="str">
            <v>Gestion des dossiers patients (infirmier)</v>
          </cell>
          <cell r="C38" t="str">
            <v>Obligation légale de tenue d’un dossier patient consultable par les infirmiers et paramédicaux</v>
          </cell>
        </row>
        <row r="39">
          <cell r="B39" t="str">
            <v>Gestion des soins infirmiers et paramédicaux</v>
          </cell>
          <cell r="C39" t="str">
            <v>Collecte et traitement de données des patients pour les soins Y compris l’encodage des prestations électroniques pour la facturation de prestations médicales et paramédicales</v>
          </cell>
        </row>
        <row r="40">
          <cell r="B40" t="str">
            <v>Organisation des activités infirmières et des détachements</v>
          </cell>
          <cell r="C40" t="str">
            <v>Organisation (coordination de l’activité intra et extra muros)</v>
          </cell>
        </row>
        <row r="41">
          <cell r="B41" t="str">
            <v>Gestion de l’apprentissage (stagiaires)</v>
          </cell>
          <cell r="C41" t="str">
            <v>Gestion des stages en collaborations avec les Hautes écoles, Universités et asbl, Sages-Femmes.</v>
          </cell>
        </row>
        <row r="42">
          <cell r="B42" t="str">
            <v>Achats_finances</v>
          </cell>
          <cell r="C42" t="str">
            <v>POLE3détails</v>
          </cell>
        </row>
        <row r="43">
          <cell r="B43" t="str">
            <v xml:space="preserve">Gestion comptable et financière </v>
          </cell>
          <cell r="C43" t="str">
            <v xml:space="preserve">comptabilité 
Paye effective du personnel et des médecins
Gestion de la facturation des patients
e-services patientèle
</v>
          </cell>
        </row>
        <row r="44">
          <cell r="B44" t="str">
            <v>Gestion des achats et des fournisseurs</v>
          </cell>
          <cell r="C44" t="str">
            <v>Gestion des marchés publics, des contacts avec les soumissionnaires et les fournisseurs , e-services fournisseurs</v>
          </cell>
        </row>
        <row r="45">
          <cell r="B45" t="str">
            <v>Gestion du contentieux (patient, personnel et fournisseurs)</v>
          </cell>
          <cell r="C45" t="str">
            <v xml:space="preserve">Recouvrement de créances
Etalement de payement
Gestion des successions
Gestion de l’intervention d’huissiers
Règlement collectif de dettes (RCD)
</v>
          </cell>
        </row>
        <row r="46">
          <cell r="B46" t="str">
            <v>Transfert de données vers les autorités publiques</v>
          </cell>
          <cell r="C46" t="str">
            <v>Transfert de données vers les autorités publiques conformément aux obligations légales – ex : Mycarnet, INAMI,…</v>
          </cell>
        </row>
        <row r="47">
          <cell r="B47" t="str">
            <v>Business intelligence (utilisations secondaires)</v>
          </cell>
          <cell r="C47" t="str">
            <v xml:space="preserve">Analyses statistiques et indicateur de performance (G67 médical et RH)
Tableaux de bord &amp; indicateurs de performance : Finances, workforce, patients et processus interne
Requêtes pour des études scientifiques ou la compréhension d’un processus médical
</v>
          </cell>
        </row>
        <row r="48">
          <cell r="B48" t="str">
            <v>Ressources_humaines_Trajet_patient_communications</v>
          </cell>
          <cell r="C48" t="str">
            <v>POLE4détails</v>
          </cell>
        </row>
        <row r="49">
          <cell r="B49" t="str">
            <v>Traitement de la paye</v>
          </cell>
          <cell r="C49" t="str">
            <v xml:space="preserve">Gestion de la paye de tous les collaborateurs du CHR de la Citadelle, à l'exception des médecins. </v>
          </cell>
        </row>
        <row r="50">
          <cell r="B50" t="str">
            <v>Recrutement</v>
          </cell>
          <cell r="C50" t="str">
            <v>Mettre en place une base de données de candidatures afin de pourvoir aux besoins de recrutement de l'institution. Hors médecins et infirmiers</v>
          </cell>
        </row>
        <row r="51">
          <cell r="B51" t="str">
            <v>Gestion du personnel</v>
          </cell>
          <cell r="C51" t="str">
            <v>Congés sans solde, chômage, interruption de carrière, accidents du travail, absences, pensions</v>
          </cell>
        </row>
        <row r="52">
          <cell r="B52" t="str">
            <v>Gestion des pointages</v>
          </cell>
          <cell r="C52" t="str">
            <v>Surveillance électronique des horaires de travail</v>
          </cell>
        </row>
        <row r="53">
          <cell r="B53" t="str">
            <v>Gestion des litiges et des sanctions</v>
          </cell>
        </row>
        <row r="54">
          <cell r="B54" t="str">
            <v>Gestion des formations</v>
          </cell>
          <cell r="C54" t="str">
            <v>Identification des formations internes et/ou externes suivies en cours de carrière (diplômantes, certifiantes et non certifiantes) et mise en relation avec les exigences du profil de poste et la délivrance de droits de pratique et de privilèges (cf. accréditation JCI) résultant dans une fiche de compétences individuelles</v>
          </cell>
        </row>
        <row r="55">
          <cell r="B55" t="str">
            <v>Evaluations</v>
          </cell>
          <cell r="C55" t="str">
            <v>Evaluation des compétences de chaque travailleur, réalisé tous les 2 ans</v>
          </cell>
        </row>
        <row r="56">
          <cell r="B56" t="str">
            <v>Service social des personnes</v>
          </cell>
          <cell r="C56" t="str">
            <v>Assistance sociale du personnel</v>
          </cell>
        </row>
        <row r="57">
          <cell r="B57" t="str">
            <v>Suivi des demandes</v>
          </cell>
        </row>
        <row r="58">
          <cell r="B58" t="str">
            <v>Administration de patients</v>
          </cell>
          <cell r="C58" t="str">
            <v xml:space="preserve">Accueil, admissions, inscriptions et rendez-vous, cellule signalétique
 e-services rendez-vous
</v>
          </cell>
        </row>
        <row r="59">
          <cell r="B59" t="str">
            <v>Service social des patients</v>
          </cell>
          <cell r="C59" t="str">
            <v>Suivi social du patient - contexte social familial - préparation sortie - continuité des soins</v>
          </cell>
        </row>
        <row r="60">
          <cell r="B60" t="str">
            <v>Gestion de la téléphonie</v>
          </cell>
          <cell r="C60" t="str">
            <v>Gestion des appels téléphoniques - registre téléphonique - accueil visiteurs - gestion des absences</v>
          </cell>
        </row>
        <row r="61">
          <cell r="B61" t="str">
            <v>Médiation Interculturelle</v>
          </cell>
          <cell r="C61" t="str">
            <v>Intervention linguistique - accessibilité aux soins</v>
          </cell>
        </row>
        <row r="62">
          <cell r="B62" t="str">
            <v>Statistiques Internes</v>
          </cell>
          <cell r="C62" t="str">
            <v>Tableaux de bord pour suivre l'activité médical et administrative</v>
          </cell>
        </row>
        <row r="63">
          <cell r="B63" t="str">
            <v>Statistiques Médiation Interculturelle</v>
          </cell>
        </row>
        <row r="64">
          <cell r="B64" t="str">
            <v xml:space="preserve">Gestion des enqûêtes internes </v>
          </cell>
        </row>
        <row r="65">
          <cell r="B65" t="str">
            <v>Newsletters, brochures, emailing</v>
          </cell>
          <cell r="C65" t="str">
            <v xml:space="preserve"> Contacts avec la presse :
listing avec les coordonnées des journalistes (pas d’annotation informatique actuellement)
On refuse de donner toute info à caractère privé à la presse sur un patient ou un membre du personnel. Quid des « VIP » ou personnes connues ? (remarque : certains patients ou membres du personnel transmettent eux-mêmes leurs données médicales et/ou personnelles à la presse)
Magazine Citadoc et cartons d’invitation pour des évènements : envoi par la poste sur base d’un listing d’adresses postales collectées par nos stagiaires qui ont téléphoné aux personnes concernées pour avoir leur accord (en 2016).
Cours en ligne accrédités : collecte du nom, prénom, de l’adresse e-mail et du numéro INAMI des participants, en vue de l’encodage sur la plateforme d’accréditation de l’INAMI 
Exemple : https://citadoc.chrcitadelle.be/Citadoc/Publications/Webinar/Journee-Medicale-CHR-Liege-2017-exposes-ethiques.aspx
Inscriptions pour des événements internes et externes : collecte d’informations variables selon les évènements (utilisées uniquement pour la bonne organisation des évènements et l’encodage des participations sur le site de l’INAMI pour les évènements accrédités).
Site web : collecte des données des formulaires d’inscription à My CHR et My CHR PRO en vue de l’envoi d’e-newsletters (seules les données e-mails sont exploitées pour le moment)
</v>
          </cell>
        </row>
        <row r="66">
          <cell r="B66" t="str">
            <v xml:space="preserve">Site intranet pour le personnel </v>
          </cell>
          <cell r="C66" t="str">
            <v xml:space="preserve">Intranet : un projet est en cours pour créer un portail de petites annonces pour le personnel – les données collectées seraient les noms/prénoms/e-mail privé/numéro de tel. Privé - ces données seront affichées pour permettre les contacts entre les utilisateurs du portail – le service communication pourra accéder à ces données pour contacter les personnes en cas de non-respect des conditions générales d’utilisation du portail (en cours de réalisation en collaboration avec Dominique Paulus).
Photos et vidéos réalisées par le service communication et utilisées sur nos différents canaux de diffusion : signature systématique d’un formulaire d’autorisation de diffusion par les personnes externes au CHR (adultes et enfants) – cf pièce-jointe.
!!! Pour les agents, il a été évoqué lors de nos réunions de service de leur faire signer un document d’autorisation en même temps que le nouveau règlement de travail. !!!
Rem. : quand une chaine de télévision extérieure vient filmer, elle utilise ses propres documents de confidentialité.
</v>
          </cell>
        </row>
        <row r="67">
          <cell r="B67" t="str">
            <v>Media sociaux : pages du CHR</v>
          </cell>
          <cell r="C67" t="str">
            <v xml:space="preserve">Gestion d’un Facebook interne qui s’adresse uniquement au personnel sur inscription. Diffusion d’images et d’infos, notamment sur des événements internes (Team Building, fête du personnel, etc)
Photos et vidéos réalisées par le service communication et utilisées sur nos différents canaux de diffusion : signature systématique d’un formulaire d’autorisation de diffusion par les personnes externes au CHR (adultes et enfants) – cf pièce-jointe.
!!! Pour les agents, il a été évoqué lors de nos réunions de service de leur faire signer un document d’autorisation en même temps que le nouveau règlement de travail. !!!
Rem. : quand une chaine de télévision extérieure vient filmer, elle utilise ses propres documents de confidentialité.
</v>
          </cell>
        </row>
        <row r="68">
          <cell r="B68" t="str">
            <v>Evénements internes</v>
          </cell>
          <cell r="C68" t="str">
            <v xml:space="preserve">Inscriptions pour des événements internes et externes : collecte d’informations variables selon les évènements (utilisées uniquement pour la bonne organisation des évènements et l’encodage des participations sur le site de l’INAMI pour les évènements accrédités).
Organisation de concours/promotions à destination du personnel :
Les données des participants sont transmises à des tiers (le plus souvent organisateurs d’événements). Il s’agit évidemment de participation sur base volontaire.
 Fondation « CHR » :
-Le problème se posera peut-être concernant les identités des donateurs
-Cette Fondation sera médiatisée et le « souci » concernant les images des personnes médiatisées risque d’amplifier à ce moment. 
</v>
          </cell>
        </row>
        <row r="69">
          <cell r="B69" t="str">
            <v>Crèche du personnel</v>
          </cell>
          <cell r="C69" t="str">
            <v xml:space="preserve">Dossier médical de l'enfant
Dossier pour le calcul de la PFP, (participation financière des parents suivant les directives de l’ONE dossier subsides ONE. Document demande d'inscription
Document "contrat d'accueil", Facturation 
Document entrée crèches et dossier de passage chez les grands.
</v>
          </cell>
        </row>
        <row r="70">
          <cell r="B70" t="str">
            <v>Infrastructure_logistique</v>
          </cell>
          <cell r="C70" t="str">
            <v>POLE5détails</v>
          </cell>
        </row>
        <row r="71">
          <cell r="B71" t="str">
            <v>Services alimentaires</v>
          </cell>
          <cell r="C71" t="str">
            <v>Datameal – alimentation, régime, allergies</v>
          </cell>
        </row>
        <row r="72">
          <cell r="B72" t="str">
            <v>Entretien ménager</v>
          </cell>
          <cell r="C72" t="str">
            <v xml:space="preserve">((+ projet des sortants – organisation du travail des équipes volantes avec suivi de la localisation (pas de géolocalisation)
Utilisation du logiciel SoftClean et Qblock
Softclean - gestion de l'entretien des chambres des patients sortants
Qblock - planification de l'entretien des salles d'opération en fonction du programme opératoire
</v>
          </cell>
        </row>
        <row r="73">
          <cell r="B73" t="str">
            <v>Lingerie</v>
          </cell>
          <cell r="C73" t="str">
            <v>Vêtement de Travail, Taille, … + projet DAV- distributeur automatique de vêtements</v>
          </cell>
        </row>
        <row r="74">
          <cell r="B74" t="str">
            <v>Centrale du mobilier hospitalier</v>
          </cell>
        </row>
        <row r="75">
          <cell r="B75" t="str">
            <v>Gardiennage</v>
          </cell>
          <cell r="C75" t="str">
            <v>Vigiles et contrôle d'identité(soir et nuit) Accès à la base de données des véhicules</v>
          </cell>
        </row>
        <row r="76">
          <cell r="B76" t="str">
            <v>Contrôle d’accès et pointage</v>
          </cell>
          <cell r="C76" t="str">
            <v>Maintenance, accès aux données, autorisations PMR temporaires</v>
          </cell>
        </row>
        <row r="77">
          <cell r="B77" t="str">
            <v>Vidéosurveillance</v>
          </cell>
          <cell r="C77" t="str">
            <v>Maintenance technique, accès aux images</v>
          </cell>
        </row>
        <row r="78">
          <cell r="B78" t="str">
            <v>Convention peine de travail</v>
          </cell>
          <cell r="C78" t="str">
            <v>Cuisine, transport</v>
          </cell>
        </row>
        <row r="79">
          <cell r="B79" t="str">
            <v>Gestion du personnel</v>
          </cell>
          <cell r="C79" t="str">
            <v>Certificat Bonne vie et mœurs (extrait casier judiciaire) des vigiles, maladies, procédures disciplinaires, dossier P, recommandations médicales SPMT</v>
          </cell>
        </row>
        <row r="80">
          <cell r="B80" t="str">
            <v>Cellule_stratégique_Qualité_Projets</v>
          </cell>
          <cell r="C80" t="str">
            <v>POLE6détails</v>
          </cell>
        </row>
        <row r="81">
          <cell r="B81" t="str">
            <v>Analyses de rentabilité, d’opportunité</v>
          </cell>
          <cell r="C81" t="str">
            <v>Requête pour analyse financière  et stratégie Financements</v>
          </cell>
        </row>
        <row r="82">
          <cell r="B82" t="str">
            <v>Enquêtes, rapports officiels SPF (qualité)</v>
          </cell>
          <cell r="C82" t="str">
            <v>Traitement de données patients pour le suivi des projets pilotes SPF, RW, AVIQ, etc. Eliane Ninove</v>
          </cell>
        </row>
        <row r="83">
          <cell r="B83" t="str">
            <v>Gestion et coordination de projets</v>
          </cell>
          <cell r="C83" t="str">
            <v>Requête pour suivi des indicateurs des projets stratégiques</v>
          </cell>
        </row>
        <row r="84">
          <cell r="B84" t="str">
            <v>Satisfaction patient</v>
          </cell>
          <cell r="C84" t="str">
            <v>Traitement des données patients en vue d’améliorer nos pratiques et de répondre aux patients</v>
          </cell>
        </row>
        <row r="85">
          <cell r="B85" t="str">
            <v>Comité patient</v>
          </cell>
          <cell r="C85" t="str">
            <v>Collecte données patient, amélioration des processus</v>
          </cell>
        </row>
        <row r="86">
          <cell r="B86" t="str">
            <v>Evènements indésirables</v>
          </cell>
          <cell r="C86" t="str">
            <v>Traitement de données patients et personnels pour analyse et suivi des évènements indésirables</v>
          </cell>
        </row>
        <row r="87">
          <cell r="B87" t="str">
            <v>Indicateurs</v>
          </cell>
          <cell r="C87" t="str">
            <v>Suivi des indicateurs qualité (cliniques, etc.) en vue d’améliorer les pratiques</v>
          </cell>
        </row>
        <row r="88">
          <cell r="B88" t="str">
            <v>Système_information</v>
          </cell>
          <cell r="C88" t="str">
            <v>POLE7détails</v>
          </cell>
        </row>
        <row r="89">
          <cell r="B89" t="str">
            <v>Surveillance du Système d’Information</v>
          </cell>
          <cell r="C89" t="str">
            <v>Assurer la traçabilité (Journalisation (logs))
Monitoring (vérification de la disponibilité des systèmes) 
Surveillance dans un but de 
- Prévention des faits illicites internes et externes, 
- Protection de la confidentialité ;
- Protection des intérêts du CHR ; 
- Sécurité et bon fonctionnement technique 
- Respect des règles d’utilisation du système d’information (charte S.I. …)</v>
          </cell>
        </row>
        <row r="90">
          <cell r="B90" t="str">
            <v>Support et assistance informatique</v>
          </cell>
          <cell r="C90" t="str">
            <v xml:space="preserve">Assurer la continuité du service en fournissant support et assistance suivant la méthodologie ITIL
L1. Helpdesk 
L2. Ingénieur système 
L.3 développeurs/référents SI/administrateurs applicatifs
</v>
          </cell>
        </row>
        <row r="91">
          <cell r="B91" t="str">
            <v>Gestion du développement et de l’implémentation de logiciels administratifs et médicaux</v>
          </cell>
          <cell r="C91" t="str">
            <v>Projets de mise en œuvre d’applications administratives ou médicales (analyse, implémentation, migration, ...) – ex : logiciels d’admission, de comptabilité, dossier patient informatisé, …</v>
          </cell>
        </row>
        <row r="92">
          <cell r="B92" t="str">
            <v>Gestion de l'interconnexion entre applications</v>
          </cell>
          <cell r="C92" t="str">
            <v>Projets d'interconnexion et transformation entre applicatifs via bus d'entreprise (EAI) – ex : flux de données patients entre applications, …</v>
          </cell>
        </row>
        <row r="93">
          <cell r="B93" t="str">
            <v>Gestion des outils multimédia, liés à la communication, à l'amélioration de l'expérience utilisateur</v>
          </cell>
          <cell r="C93" t="str">
            <v>Projets de mise en place d'outils multimédia et leur administration. Support et procédures pour leur utilisation. – ex : emailing, vidéoconférence, outils de bureautique, intranet</v>
          </cell>
        </row>
        <row r="94">
          <cell r="B94" t="str">
            <v xml:space="preserve">Gestion de logiciels et de systèmes d’infrastructure </v>
          </cell>
          <cell r="C94" t="str">
            <v>Projets de mise en œuvre, de mise en place de logiciels, de matériel et de systèmes pour la gestion de la sécurité informatique – ex : datacenters, firewalls, WIFI interne</v>
          </cell>
        </row>
        <row r="95">
          <cell r="B95" t="str">
            <v xml:space="preserve">Sécurité logique </v>
          </cell>
          <cell r="C95" t="str">
            <v>Gestion et révision périodique des accès logiques (internes et externes) et des identités (authentification)</v>
          </cell>
        </row>
        <row r="96">
          <cell r="B96" t="str">
            <v>Gestion des périphériques privés du personnel (BYOD)</v>
          </cell>
          <cell r="C96" t="str">
            <v>Gestion des périphériques privés du personnel et des médecins (BYOD)</v>
          </cell>
        </row>
        <row r="97">
          <cell r="B97" t="str">
            <v>Gestion du WIFI externe</v>
          </cell>
          <cell r="C97" t="str">
            <v xml:space="preserve">Accès internet pour les patients et visiteurs, le personnel et les médecins. </v>
          </cell>
        </row>
        <row r="98">
          <cell r="B98" t="str">
            <v>Gestion des back-ups et de l’archivage</v>
          </cell>
          <cell r="C98" t="str">
            <v>Gestion des back-up et d’archivage suivant la catégorie de données (données médicales, données du personnel, données administratives, données utilitaires)</v>
          </cell>
        </row>
      </sheetData>
      <sheetData sheetId="13"/>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ntranetsites.chrcitadelle.be/Achats%20et%20magasins/99%20Plateforme%20&#233;change/A%20-%20FICHE%20DE%20LANCEMENT%20ACHATS" TargetMode="External"/><Relationship Id="rId1" Type="http://schemas.openxmlformats.org/officeDocument/2006/relationships/hyperlink" Target="mailto:achats@citadelle.be%20(ou%20&#224;%20votre%20interlocuteur%20habituel%20au%20service%20acha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B67"/>
  <sheetViews>
    <sheetView zoomScale="94" zoomScaleNormal="94" workbookViewId="0">
      <selection activeCell="B11" sqref="B11"/>
    </sheetView>
  </sheetViews>
  <sheetFormatPr baseColWidth="10" defaultColWidth="11.5546875" defaultRowHeight="14.4" x14ac:dyDescent="0.3"/>
  <cols>
    <col min="1" max="1" width="47.109375" style="64" customWidth="1"/>
    <col min="2" max="2" width="66.5546875" style="64" customWidth="1"/>
    <col min="3" max="3" width="14.5546875" style="55" customWidth="1"/>
    <col min="4" max="16384" width="11.5546875" style="55"/>
  </cols>
  <sheetData>
    <row r="1" spans="1:2" ht="21" customHeight="1" thickBot="1" x14ac:dyDescent="0.35">
      <c r="A1" s="53"/>
      <c r="B1" s="54" t="s">
        <v>524</v>
      </c>
    </row>
    <row r="2" spans="1:2" ht="32.25" customHeight="1" x14ac:dyDescent="0.3">
      <c r="A2" s="56" t="s">
        <v>466</v>
      </c>
      <c r="B2" s="46" t="s">
        <v>467</v>
      </c>
    </row>
    <row r="3" spans="1:2" ht="9.75" customHeight="1" x14ac:dyDescent="0.3">
      <c r="A3" s="55"/>
      <c r="B3" s="46"/>
    </row>
    <row r="4" spans="1:2" ht="31.2" customHeight="1" x14ac:dyDescent="0.3">
      <c r="A4" s="57" t="s">
        <v>413</v>
      </c>
      <c r="B4" s="46" t="s">
        <v>464</v>
      </c>
    </row>
    <row r="5" spans="1:2" ht="17.25" customHeight="1" x14ac:dyDescent="0.3">
      <c r="A5" s="57"/>
      <c r="B5" s="58"/>
    </row>
    <row r="6" spans="1:2" ht="21.6" thickBot="1" x14ac:dyDescent="0.35">
      <c r="A6" s="84" t="s">
        <v>457</v>
      </c>
      <c r="B6" s="85"/>
    </row>
    <row r="7" spans="1:2" ht="27.75" customHeight="1" x14ac:dyDescent="0.3">
      <c r="A7" s="59" t="s">
        <v>431</v>
      </c>
      <c r="B7" s="40"/>
    </row>
    <row r="8" spans="1:2" ht="27.75" customHeight="1" x14ac:dyDescent="0.3">
      <c r="A8" s="60" t="s">
        <v>403</v>
      </c>
      <c r="B8" s="41"/>
    </row>
    <row r="9" spans="1:2" ht="27.75" customHeight="1" x14ac:dyDescent="0.3">
      <c r="A9" s="60" t="s">
        <v>412</v>
      </c>
      <c r="B9" s="41"/>
    </row>
    <row r="10" spans="1:2" ht="67.8" thickBot="1" x14ac:dyDescent="0.35">
      <c r="A10" s="62" t="s">
        <v>445</v>
      </c>
      <c r="B10" s="39"/>
    </row>
    <row r="11" spans="1:2" ht="15" thickBot="1" x14ac:dyDescent="0.35"/>
    <row r="12" spans="1:2" ht="18" x14ac:dyDescent="0.3">
      <c r="A12" s="86" t="s">
        <v>446</v>
      </c>
      <c r="B12" s="87"/>
    </row>
    <row r="13" spans="1:2" s="66" customFormat="1" ht="60.75" customHeight="1" x14ac:dyDescent="0.3">
      <c r="A13" s="65" t="s">
        <v>522</v>
      </c>
      <c r="B13" s="41"/>
    </row>
    <row r="14" spans="1:2" s="66" customFormat="1" ht="28.8" x14ac:dyDescent="0.3">
      <c r="A14" s="65" t="s">
        <v>428</v>
      </c>
      <c r="B14" s="41"/>
    </row>
    <row r="15" spans="1:2" s="66" customFormat="1" ht="76.2" customHeight="1" x14ac:dyDescent="0.3">
      <c r="A15" s="67" t="s">
        <v>509</v>
      </c>
      <c r="B15" s="41"/>
    </row>
    <row r="16" spans="1:2" s="66" customFormat="1" ht="37.5" customHeight="1" x14ac:dyDescent="0.3">
      <c r="A16" s="67" t="s">
        <v>506</v>
      </c>
      <c r="B16" s="41"/>
    </row>
    <row r="17" spans="1:2" s="66" customFormat="1" ht="33.75" customHeight="1" x14ac:dyDescent="0.3">
      <c r="A17" s="68" t="s">
        <v>523</v>
      </c>
      <c r="B17" s="41"/>
    </row>
    <row r="18" spans="1:2" s="66" customFormat="1" ht="28.8" x14ac:dyDescent="0.3">
      <c r="A18" s="67" t="s">
        <v>472</v>
      </c>
      <c r="B18" s="41"/>
    </row>
    <row r="19" spans="1:2" s="66" customFormat="1" ht="28.8" x14ac:dyDescent="0.3">
      <c r="A19" s="60" t="s">
        <v>429</v>
      </c>
      <c r="B19" s="41"/>
    </row>
    <row r="20" spans="1:2" s="66" customFormat="1" ht="28.8" x14ac:dyDescent="0.3">
      <c r="A20" s="60" t="s">
        <v>414</v>
      </c>
      <c r="B20" s="41"/>
    </row>
    <row r="21" spans="1:2" s="66" customFormat="1" ht="33.6" customHeight="1" x14ac:dyDescent="0.3">
      <c r="A21" s="60" t="s">
        <v>435</v>
      </c>
      <c r="B21" s="41"/>
    </row>
    <row r="22" spans="1:2" s="66" customFormat="1" ht="33.6" customHeight="1" x14ac:dyDescent="0.3">
      <c r="A22" s="60" t="s">
        <v>450</v>
      </c>
      <c r="B22" s="41"/>
    </row>
    <row r="23" spans="1:2" s="66" customFormat="1" ht="18" customHeight="1" thickBot="1" x14ac:dyDescent="0.35">
      <c r="A23" s="69" t="s">
        <v>415</v>
      </c>
      <c r="B23" s="42"/>
    </row>
    <row r="24" spans="1:2" ht="15" thickBot="1" x14ac:dyDescent="0.35">
      <c r="A24" s="71"/>
    </row>
    <row r="25" spans="1:2" ht="18" x14ac:dyDescent="0.3">
      <c r="A25" s="86" t="s">
        <v>447</v>
      </c>
      <c r="B25" s="87"/>
    </row>
    <row r="26" spans="1:2" ht="28.8" x14ac:dyDescent="0.3">
      <c r="A26" s="72" t="s">
        <v>473</v>
      </c>
      <c r="B26" s="41"/>
    </row>
    <row r="27" spans="1:2" ht="28.8" x14ac:dyDescent="0.3">
      <c r="A27" s="72" t="s">
        <v>474</v>
      </c>
      <c r="B27" s="43"/>
    </row>
    <row r="28" spans="1:2" ht="28.8" x14ac:dyDescent="0.3">
      <c r="A28" s="72" t="s">
        <v>475</v>
      </c>
      <c r="B28" s="43"/>
    </row>
    <row r="29" spans="1:2" ht="66.75" customHeight="1" x14ac:dyDescent="0.3">
      <c r="A29" s="72" t="s">
        <v>511</v>
      </c>
      <c r="B29" s="43"/>
    </row>
    <row r="30" spans="1:2" x14ac:dyDescent="0.3">
      <c r="A30" s="88" t="s">
        <v>476</v>
      </c>
      <c r="B30" s="89"/>
    </row>
    <row r="31" spans="1:2" ht="44.4" customHeight="1" x14ac:dyDescent="0.3">
      <c r="A31" s="68" t="s">
        <v>481</v>
      </c>
      <c r="B31" s="41"/>
    </row>
    <row r="32" spans="1:2" ht="30.75" customHeight="1" x14ac:dyDescent="0.3">
      <c r="A32" s="68" t="s">
        <v>478</v>
      </c>
      <c r="B32" s="43"/>
    </row>
    <row r="33" spans="1:2" x14ac:dyDescent="0.3">
      <c r="A33" s="88" t="s">
        <v>477</v>
      </c>
      <c r="B33" s="89"/>
    </row>
    <row r="34" spans="1:2" ht="43.95" customHeight="1" x14ac:dyDescent="0.3">
      <c r="A34" s="68" t="s">
        <v>426</v>
      </c>
      <c r="B34" s="41"/>
    </row>
    <row r="35" spans="1:2" ht="43.95" customHeight="1" x14ac:dyDescent="0.3">
      <c r="A35" s="68" t="s">
        <v>479</v>
      </c>
      <c r="B35" s="41"/>
    </row>
    <row r="36" spans="1:2" ht="43.95" customHeight="1" thickBot="1" x14ac:dyDescent="0.35">
      <c r="A36" s="62" t="s">
        <v>515</v>
      </c>
      <c r="B36" s="44"/>
    </row>
    <row r="37" spans="1:2" ht="15" thickBot="1" x14ac:dyDescent="0.35">
      <c r="A37" s="75"/>
      <c r="B37" s="76"/>
    </row>
    <row r="38" spans="1:2" ht="18" x14ac:dyDescent="0.3">
      <c r="A38" s="86" t="s">
        <v>437</v>
      </c>
      <c r="B38" s="87"/>
    </row>
    <row r="39" spans="1:2" ht="52.8" x14ac:dyDescent="0.3">
      <c r="A39" s="68" t="s">
        <v>459</v>
      </c>
      <c r="B39" s="45"/>
    </row>
    <row r="40" spans="1:2" ht="43.95" customHeight="1" x14ac:dyDescent="0.3">
      <c r="A40" s="68" t="s">
        <v>458</v>
      </c>
      <c r="B40" s="41"/>
    </row>
    <row r="41" spans="1:2" x14ac:dyDescent="0.3">
      <c r="A41" s="88" t="s">
        <v>521</v>
      </c>
      <c r="B41" s="89"/>
    </row>
    <row r="42" spans="1:2" ht="19.95" customHeight="1" x14ac:dyDescent="0.3">
      <c r="A42" s="68" t="s">
        <v>373</v>
      </c>
      <c r="B42" s="41"/>
    </row>
    <row r="43" spans="1:2" x14ac:dyDescent="0.3">
      <c r="A43" s="68" t="s">
        <v>397</v>
      </c>
      <c r="B43" s="41"/>
    </row>
    <row r="44" spans="1:2" x14ac:dyDescent="0.3">
      <c r="A44" s="68" t="s">
        <v>468</v>
      </c>
      <c r="B44" s="41"/>
    </row>
    <row r="45" spans="1:2" x14ac:dyDescent="0.3">
      <c r="A45" s="68" t="s">
        <v>469</v>
      </c>
      <c r="B45" s="52"/>
    </row>
    <row r="46" spans="1:2" ht="43.2" x14ac:dyDescent="0.3">
      <c r="A46" s="68" t="s">
        <v>453</v>
      </c>
      <c r="B46" s="52"/>
    </row>
    <row r="47" spans="1:2" ht="43.8" thickBot="1" x14ac:dyDescent="0.35">
      <c r="A47" s="62" t="s">
        <v>452</v>
      </c>
      <c r="B47" s="39"/>
    </row>
    <row r="48" spans="1:2" ht="15" thickBot="1" x14ac:dyDescent="0.35"/>
    <row r="49" spans="1:2" ht="18" x14ac:dyDescent="0.3">
      <c r="A49" s="86" t="s">
        <v>448</v>
      </c>
      <c r="B49" s="87"/>
    </row>
    <row r="50" spans="1:2" ht="85.5" customHeight="1" x14ac:dyDescent="0.3">
      <c r="A50" s="68" t="s">
        <v>482</v>
      </c>
      <c r="B50" s="41"/>
    </row>
    <row r="51" spans="1:2" ht="28.8" x14ac:dyDescent="0.3">
      <c r="A51" s="68" t="s">
        <v>518</v>
      </c>
      <c r="B51" s="41"/>
    </row>
    <row r="52" spans="1:2" ht="57.6" x14ac:dyDescent="0.3">
      <c r="A52" s="68" t="s">
        <v>516</v>
      </c>
      <c r="B52" s="41"/>
    </row>
    <row r="53" spans="1:2" ht="28.8" x14ac:dyDescent="0.3">
      <c r="A53" s="68" t="s">
        <v>517</v>
      </c>
      <c r="B53" s="43"/>
    </row>
    <row r="54" spans="1:2" ht="43.2" x14ac:dyDescent="0.3">
      <c r="A54" s="68" t="s">
        <v>483</v>
      </c>
      <c r="B54" s="41"/>
    </row>
    <row r="55" spans="1:2" ht="43.2" x14ac:dyDescent="0.3">
      <c r="A55" s="68" t="s">
        <v>484</v>
      </c>
      <c r="B55" s="41"/>
    </row>
    <row r="56" spans="1:2" ht="43.2" x14ac:dyDescent="0.3">
      <c r="A56" s="68" t="s">
        <v>485</v>
      </c>
      <c r="B56" s="41"/>
    </row>
    <row r="57" spans="1:2" ht="21" customHeight="1" thickBot="1" x14ac:dyDescent="0.35">
      <c r="A57" s="78" t="s">
        <v>434</v>
      </c>
      <c r="B57" s="39"/>
    </row>
    <row r="58" spans="1:2" ht="15" thickBot="1" x14ac:dyDescent="0.35">
      <c r="A58" s="75"/>
    </row>
    <row r="59" spans="1:2" ht="18" x14ac:dyDescent="0.3">
      <c r="A59" s="86" t="s">
        <v>432</v>
      </c>
      <c r="B59" s="87"/>
    </row>
    <row r="60" spans="1:2" x14ac:dyDescent="0.3">
      <c r="A60" s="79" t="s">
        <v>503</v>
      </c>
      <c r="B60" s="41"/>
    </row>
    <row r="61" spans="1:2" ht="15" thickBot="1" x14ac:dyDescent="0.35">
      <c r="A61" s="62" t="s">
        <v>433</v>
      </c>
      <c r="B61" s="39"/>
    </row>
    <row r="62" spans="1:2" ht="15" customHeight="1" x14ac:dyDescent="0.3"/>
    <row r="67" spans="1:1" x14ac:dyDescent="0.3">
      <c r="A67" s="80"/>
    </row>
  </sheetData>
  <sheetProtection algorithmName="SHA-512" hashValue="aojoLqQtW3lHZv6FY+rinfimMGZOcTvByQRWZbscUYrf/JOSW5YSUvjO+eZib4Ql7Re7CMQ/m6+6yV/82+uY+Q==" saltValue="a4yUY0G3DJLuWSwF6W39Vg==" spinCount="100000" sheet="1" formatCells="0" formatColumns="0" formatRows="0"/>
  <mergeCells count="9">
    <mergeCell ref="A6:B6"/>
    <mergeCell ref="A25:B25"/>
    <mergeCell ref="A59:B59"/>
    <mergeCell ref="A12:B12"/>
    <mergeCell ref="A49:B49"/>
    <mergeCell ref="A38:B38"/>
    <mergeCell ref="A41:B41"/>
    <mergeCell ref="A33:B33"/>
    <mergeCell ref="A30:B30"/>
  </mergeCells>
  <hyperlinks>
    <hyperlink ref="B4" r:id="rId1" xr:uid="{261D99D9-3F7E-4065-B364-9AD5D15A3916}"/>
    <hyperlink ref="B2" r:id="rId2" xr:uid="{3C2857F1-6B36-486B-B1AE-F81C21E0A680}"/>
  </hyperlinks>
  <pageMargins left="0.7" right="0.7" top="0.75" bottom="0.75" header="0.3" footer="0.3"/>
  <pageSetup paperSize="9" scale="76" orientation="portrait" r:id="rId3"/>
  <extLst>
    <ext xmlns:x14="http://schemas.microsoft.com/office/spreadsheetml/2009/9/main" uri="{CCE6A557-97BC-4b89-ADB6-D9C93CAAB3DF}">
      <x14:dataValidations xmlns:xm="http://schemas.microsoft.com/office/excel/2006/main" count="7">
        <x14:dataValidation type="list" allowBlank="1" showInputMessage="1" showErrorMessage="1" xr:uid="{107BF898-8997-41A5-AEC1-1751EE3F4B58}">
          <x14:formula1>
            <xm:f>Données!$D$15:$D$20</xm:f>
          </x14:formula1>
          <xm:sqref>B34 B37:B38</xm:sqref>
        </x14:dataValidation>
        <x14:dataValidation type="list" allowBlank="1" showInputMessage="1" showErrorMessage="1" xr:uid="{5DF515EE-73A6-42E7-8426-B9D2F9D6F3EA}">
          <x14:formula1>
            <xm:f>Données!$A$15:$A$29</xm:f>
          </x14:formula1>
          <xm:sqref>B10</xm:sqref>
        </x14:dataValidation>
        <x14:dataValidation type="list" allowBlank="1" showInputMessage="1" showErrorMessage="1" xr:uid="{6D1B1331-BA06-4BEE-AC22-693928CA9557}">
          <x14:formula1>
            <xm:f>Données!$A$4:$A$10</xm:f>
          </x14:formula1>
          <xm:sqref>B14</xm:sqref>
        </x14:dataValidation>
        <x14:dataValidation type="list" allowBlank="1" showInputMessage="1" showErrorMessage="1" xr:uid="{8414AAC4-8045-4C97-AD1C-85FA1D7E5602}">
          <x14:formula1>
            <xm:f>Données!$D$11:$D$13</xm:f>
          </x14:formula1>
          <xm:sqref>B17:B18 B54:B56 B50 B52</xm:sqref>
        </x14:dataValidation>
        <x14:dataValidation type="list" allowBlank="1" showInputMessage="1" showErrorMessage="1" xr:uid="{4FBC4500-BEC8-4ABC-9462-808F037728DF}">
          <x14:formula1>
            <xm:f>Données!$D$11:$D$12</xm:f>
          </x14:formula1>
          <xm:sqref>B60:B61</xm:sqref>
        </x14:dataValidation>
        <x14:dataValidation type="list" allowBlank="1" showInputMessage="1" showErrorMessage="1" xr:uid="{F7D81C3B-6C32-4A30-A17D-DF15F41FB064}">
          <x14:formula1>
            <xm:f>Données!$D$22:$D$27</xm:f>
          </x14:formula1>
          <xm:sqref>B31</xm:sqref>
        </x14:dataValidation>
        <x14:dataValidation type="list" allowBlank="1" showInputMessage="1" showErrorMessage="1" xr:uid="{426128B1-A313-4EEC-8A63-EC42057814FC}">
          <x14:formula1>
            <xm:f>Données!$K$11:$K$13</xm:f>
          </x14:formula1>
          <xm:sqref>B29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6ECF-F3F4-4A3E-991C-497FA3C93B0B}">
  <sheetPr>
    <tabColor rgb="FF00B050"/>
  </sheetPr>
  <dimension ref="A1:B48"/>
  <sheetViews>
    <sheetView tabSelected="1" zoomScale="94" zoomScaleNormal="94" workbookViewId="0">
      <selection activeCell="B10" sqref="B10"/>
    </sheetView>
  </sheetViews>
  <sheetFormatPr baseColWidth="10" defaultColWidth="11.5546875" defaultRowHeight="14.4" x14ac:dyDescent="0.3"/>
  <cols>
    <col min="1" max="1" width="47.109375" style="64" customWidth="1"/>
    <col min="2" max="2" width="66.5546875" style="64" customWidth="1"/>
    <col min="3" max="3" width="14.5546875" style="55" customWidth="1"/>
    <col min="4" max="16384" width="11.5546875" style="55"/>
  </cols>
  <sheetData>
    <row r="1" spans="1:2" ht="17.25" customHeight="1" x14ac:dyDescent="0.3">
      <c r="A1" s="57"/>
      <c r="B1" s="58"/>
    </row>
    <row r="2" spans="1:2" ht="21.6" thickBot="1" x14ac:dyDescent="0.35">
      <c r="A2" s="84" t="s">
        <v>457</v>
      </c>
      <c r="B2" s="85"/>
    </row>
    <row r="3" spans="1:2" ht="27.75" customHeight="1" thickBot="1" x14ac:dyDescent="0.35">
      <c r="A3" s="81" t="s">
        <v>403</v>
      </c>
      <c r="B3" s="82">
        <f>'1 Lancement utilisateur '!B8</f>
        <v>0</v>
      </c>
    </row>
    <row r="4" spans="1:2" ht="15" thickBot="1" x14ac:dyDescent="0.35"/>
    <row r="5" spans="1:2" ht="18" x14ac:dyDescent="0.3">
      <c r="A5" s="86" t="s">
        <v>446</v>
      </c>
      <c r="B5" s="87"/>
    </row>
    <row r="6" spans="1:2" s="66" customFormat="1" ht="43.2" x14ac:dyDescent="0.3">
      <c r="A6" s="65" t="s">
        <v>510</v>
      </c>
      <c r="B6" s="61">
        <f>'1 Lancement utilisateur '!B13</f>
        <v>0</v>
      </c>
    </row>
    <row r="7" spans="1:2" s="66" customFormat="1" ht="28.8" x14ac:dyDescent="0.3">
      <c r="A7" s="65" t="s">
        <v>499</v>
      </c>
      <c r="B7" s="61">
        <f>'1 Lancement utilisateur '!B14</f>
        <v>0</v>
      </c>
    </row>
    <row r="8" spans="1:2" s="66" customFormat="1" ht="72" x14ac:dyDescent="0.3">
      <c r="A8" s="67" t="s">
        <v>509</v>
      </c>
      <c r="B8" s="61">
        <f>'1 Lancement utilisateur '!B15</f>
        <v>0</v>
      </c>
    </row>
    <row r="9" spans="1:2" s="66" customFormat="1" ht="39" customHeight="1" x14ac:dyDescent="0.3">
      <c r="A9" s="67" t="s">
        <v>506</v>
      </c>
      <c r="B9" s="61">
        <f>'1 Lancement utilisateur '!B16</f>
        <v>0</v>
      </c>
    </row>
    <row r="10" spans="1:2" s="66" customFormat="1" ht="28.8" x14ac:dyDescent="0.3">
      <c r="A10" s="60" t="s">
        <v>429</v>
      </c>
      <c r="B10" s="61">
        <f>'1 Lancement utilisateur '!B19</f>
        <v>0</v>
      </c>
    </row>
    <row r="11" spans="1:2" s="66" customFormat="1" ht="28.8" x14ac:dyDescent="0.3">
      <c r="A11" s="60" t="s">
        <v>414</v>
      </c>
      <c r="B11" s="61">
        <f>'1 Lancement utilisateur '!B20</f>
        <v>0</v>
      </c>
    </row>
    <row r="12" spans="1:2" s="66" customFormat="1" ht="15" thickBot="1" x14ac:dyDescent="0.35">
      <c r="A12" s="69" t="s">
        <v>415</v>
      </c>
      <c r="B12" s="70">
        <f>'1 Lancement utilisateur '!B23</f>
        <v>0</v>
      </c>
    </row>
    <row r="13" spans="1:2" ht="15" thickBot="1" x14ac:dyDescent="0.35">
      <c r="A13" s="71"/>
    </row>
    <row r="14" spans="1:2" ht="18" x14ac:dyDescent="0.3">
      <c r="A14" s="86" t="s">
        <v>447</v>
      </c>
      <c r="B14" s="87"/>
    </row>
    <row r="15" spans="1:2" ht="28.8" x14ac:dyDescent="0.3">
      <c r="A15" s="72" t="s">
        <v>500</v>
      </c>
      <c r="B15" s="61">
        <f>'1 Lancement utilisateur '!B26</f>
        <v>0</v>
      </c>
    </row>
    <row r="16" spans="1:2" ht="28.8" x14ac:dyDescent="0.3">
      <c r="A16" s="72" t="s">
        <v>475</v>
      </c>
      <c r="B16" s="73">
        <f>'1 Lancement utilisateur '!B28</f>
        <v>0</v>
      </c>
    </row>
    <row r="17" spans="1:2" x14ac:dyDescent="0.3">
      <c r="A17" s="88" t="s">
        <v>476</v>
      </c>
      <c r="B17" s="89"/>
    </row>
    <row r="18" spans="1:2" ht="44.4" customHeight="1" x14ac:dyDescent="0.3">
      <c r="A18" s="68" t="s">
        <v>501</v>
      </c>
      <c r="B18" s="61">
        <f>'1 Lancement utilisateur '!B31</f>
        <v>0</v>
      </c>
    </row>
    <row r="19" spans="1:2" ht="30.75" customHeight="1" x14ac:dyDescent="0.3">
      <c r="A19" s="68" t="s">
        <v>478</v>
      </c>
      <c r="B19" s="73">
        <f>'1 Lancement utilisateur '!B32</f>
        <v>0</v>
      </c>
    </row>
    <row r="20" spans="1:2" x14ac:dyDescent="0.3">
      <c r="A20" s="88" t="s">
        <v>477</v>
      </c>
      <c r="B20" s="89"/>
    </row>
    <row r="21" spans="1:2" ht="43.95" customHeight="1" x14ac:dyDescent="0.3">
      <c r="A21" s="68" t="s">
        <v>502</v>
      </c>
      <c r="B21" s="61">
        <f>'1 Lancement utilisateur '!B34</f>
        <v>0</v>
      </c>
    </row>
    <row r="22" spans="1:2" ht="43.95" customHeight="1" thickBot="1" x14ac:dyDescent="0.35">
      <c r="A22" s="62" t="s">
        <v>479</v>
      </c>
      <c r="B22" s="74">
        <f>'1 Lancement utilisateur '!B35</f>
        <v>0</v>
      </c>
    </row>
    <row r="23" spans="1:2" ht="15" thickBot="1" x14ac:dyDescent="0.35">
      <c r="A23" s="75"/>
      <c r="B23" s="76"/>
    </row>
    <row r="24" spans="1:2" ht="18" x14ac:dyDescent="0.3">
      <c r="A24" s="86" t="s">
        <v>437</v>
      </c>
      <c r="B24" s="87"/>
    </row>
    <row r="25" spans="1:2" ht="52.8" x14ac:dyDescent="0.3">
      <c r="A25" s="68" t="s">
        <v>459</v>
      </c>
      <c r="B25" s="61">
        <f>'1 Lancement utilisateur '!B39</f>
        <v>0</v>
      </c>
    </row>
    <row r="26" spans="1:2" ht="43.95" customHeight="1" x14ac:dyDescent="0.3">
      <c r="A26" s="68" t="s">
        <v>458</v>
      </c>
      <c r="B26" s="61">
        <f>'1 Lancement utilisateur '!B40</f>
        <v>0</v>
      </c>
    </row>
    <row r="27" spans="1:2" ht="15" customHeight="1" x14ac:dyDescent="0.3">
      <c r="A27" s="88" t="s">
        <v>521</v>
      </c>
      <c r="B27" s="89"/>
    </row>
    <row r="28" spans="1:2" ht="19.95" customHeight="1" x14ac:dyDescent="0.3">
      <c r="A28" s="68" t="s">
        <v>373</v>
      </c>
      <c r="B28" s="61"/>
    </row>
    <row r="29" spans="1:2" x14ac:dyDescent="0.3">
      <c r="A29" s="68" t="s">
        <v>397</v>
      </c>
      <c r="B29" s="61"/>
    </row>
    <row r="30" spans="1:2" x14ac:dyDescent="0.3">
      <c r="A30" s="68" t="s">
        <v>468</v>
      </c>
      <c r="B30" s="61"/>
    </row>
    <row r="31" spans="1:2" x14ac:dyDescent="0.3">
      <c r="A31" s="68" t="s">
        <v>469</v>
      </c>
      <c r="B31" s="77"/>
    </row>
    <row r="32" spans="1:2" ht="43.2" x14ac:dyDescent="0.3">
      <c r="A32" s="68" t="s">
        <v>453</v>
      </c>
      <c r="B32" s="77"/>
    </row>
    <row r="33" spans="1:2" ht="43.8" thickBot="1" x14ac:dyDescent="0.35">
      <c r="A33" s="62" t="s">
        <v>452</v>
      </c>
      <c r="B33" s="63"/>
    </row>
    <row r="34" spans="1:2" ht="15" thickBot="1" x14ac:dyDescent="0.35"/>
    <row r="35" spans="1:2" ht="18" x14ac:dyDescent="0.3">
      <c r="A35" s="86" t="s">
        <v>448</v>
      </c>
      <c r="B35" s="87"/>
    </row>
    <row r="36" spans="1:2" x14ac:dyDescent="0.3">
      <c r="A36" s="79" t="s">
        <v>520</v>
      </c>
      <c r="B36" s="73">
        <f>'1 Lancement utilisateur '!B51</f>
        <v>0</v>
      </c>
    </row>
    <row r="37" spans="1:2" x14ac:dyDescent="0.3">
      <c r="A37" s="79" t="s">
        <v>519</v>
      </c>
      <c r="B37" s="73">
        <f>'1 Lancement utilisateur '!B53</f>
        <v>0</v>
      </c>
    </row>
    <row r="38" spans="1:2" x14ac:dyDescent="0.3">
      <c r="A38" s="79" t="s">
        <v>491</v>
      </c>
      <c r="B38" s="61">
        <f>'1 Lancement utilisateur '!B54</f>
        <v>0</v>
      </c>
    </row>
    <row r="39" spans="1:2" x14ac:dyDescent="0.3">
      <c r="A39" s="79" t="s">
        <v>492</v>
      </c>
      <c r="B39" s="61">
        <f>'1 Lancement utilisateur '!B55</f>
        <v>0</v>
      </c>
    </row>
    <row r="40" spans="1:2" x14ac:dyDescent="0.3">
      <c r="A40" s="79" t="s">
        <v>493</v>
      </c>
      <c r="B40" s="61">
        <f>'1 Lancement utilisateur '!B56</f>
        <v>0</v>
      </c>
    </row>
    <row r="41" spans="1:2" ht="21" customHeight="1" thickBot="1" x14ac:dyDescent="0.35">
      <c r="A41" s="83" t="s">
        <v>494</v>
      </c>
      <c r="B41" s="63">
        <f>'1 Lancement utilisateur '!B57</f>
        <v>0</v>
      </c>
    </row>
    <row r="42" spans="1:2" x14ac:dyDescent="0.3">
      <c r="A42" s="75"/>
    </row>
    <row r="43" spans="1:2" s="64" customFormat="1" ht="15" customHeight="1" x14ac:dyDescent="0.3"/>
    <row r="48" spans="1:2" s="64" customFormat="1" x14ac:dyDescent="0.3">
      <c r="A48" s="80"/>
    </row>
  </sheetData>
  <sheetProtection algorithmName="SHA-512" hashValue="mhsGYiLmXIxwNVm+THtcAEsocB5CG7uWpZKsxq6q+jWX75ejLjrug+mGmrEjc0kReajONaYSPNYUj4sjbeA1oA==" saltValue="x5nGtWwqy2pzZmeKpIZQIQ==" spinCount="100000" sheet="1" formatCells="0" formatColumns="0" formatRows="0"/>
  <mergeCells count="8">
    <mergeCell ref="A27:B27"/>
    <mergeCell ref="A35:B35"/>
    <mergeCell ref="A2:B2"/>
    <mergeCell ref="A5:B5"/>
    <mergeCell ref="A14:B14"/>
    <mergeCell ref="A17:B17"/>
    <mergeCell ref="A20:B20"/>
    <mergeCell ref="A24:B24"/>
  </mergeCells>
  <pageMargins left="0.7" right="0.7" top="0.75" bottom="0.75" header="0.3" footer="0.3"/>
  <pageSetup paperSize="9" scale="76"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DAA53875-FE82-4807-91D1-A8C9FA2FC896}">
          <x14:formula1>
            <xm:f>Données!$D$15:$D$20</xm:f>
          </x14:formula1>
          <xm:sqref>B23:B24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0254B-E782-4D9B-BB9F-F7B79F88F962}">
  <sheetPr>
    <tabColor rgb="FF00B050"/>
  </sheetPr>
  <dimension ref="A1:K32"/>
  <sheetViews>
    <sheetView workbookViewId="0">
      <selection activeCell="B18" sqref="B18"/>
    </sheetView>
  </sheetViews>
  <sheetFormatPr baseColWidth="10" defaultColWidth="11.44140625" defaultRowHeight="14.4" x14ac:dyDescent="0.3"/>
  <cols>
    <col min="1" max="1" width="34.88671875" style="47" customWidth="1"/>
    <col min="2" max="7" width="11.44140625" style="47"/>
    <col min="8" max="8" width="13.33203125" style="47" customWidth="1"/>
    <col min="9" max="16384" width="11.44140625" style="47"/>
  </cols>
  <sheetData>
    <row r="1" spans="1:11" x14ac:dyDescent="0.3">
      <c r="A1" s="47" t="s">
        <v>399</v>
      </c>
    </row>
    <row r="3" spans="1:11" x14ac:dyDescent="0.3">
      <c r="A3" s="48" t="s">
        <v>398</v>
      </c>
      <c r="D3" s="48" t="s">
        <v>418</v>
      </c>
      <c r="G3" s="48" t="s">
        <v>451</v>
      </c>
      <c r="I3" s="48" t="s">
        <v>454</v>
      </c>
    </row>
    <row r="4" spans="1:11" ht="28.8" x14ac:dyDescent="0.3">
      <c r="A4" s="49" t="s">
        <v>507</v>
      </c>
      <c r="D4" s="47" t="s">
        <v>471</v>
      </c>
      <c r="G4" s="47" t="s">
        <v>462</v>
      </c>
      <c r="I4" s="47" t="s">
        <v>455</v>
      </c>
    </row>
    <row r="5" spans="1:11" ht="28.8" x14ac:dyDescent="0.3">
      <c r="A5" s="49" t="s">
        <v>508</v>
      </c>
      <c r="D5" s="47" t="s">
        <v>430</v>
      </c>
      <c r="G5" s="47" t="s">
        <v>461</v>
      </c>
      <c r="I5" s="47" t="s">
        <v>456</v>
      </c>
    </row>
    <row r="6" spans="1:11" x14ac:dyDescent="0.3">
      <c r="A6" s="47" t="s">
        <v>470</v>
      </c>
      <c r="D6" s="47" t="s">
        <v>417</v>
      </c>
      <c r="G6" s="47" t="s">
        <v>463</v>
      </c>
      <c r="I6" s="47" t="s">
        <v>32</v>
      </c>
    </row>
    <row r="7" spans="1:11" ht="28.8" x14ac:dyDescent="0.3">
      <c r="A7" s="49" t="s">
        <v>401</v>
      </c>
      <c r="D7" s="47" t="s">
        <v>416</v>
      </c>
      <c r="G7" s="47" t="s">
        <v>460</v>
      </c>
    </row>
    <row r="8" spans="1:11" ht="28.8" x14ac:dyDescent="0.3">
      <c r="A8" s="49" t="s">
        <v>419</v>
      </c>
    </row>
    <row r="9" spans="1:11" x14ac:dyDescent="0.3">
      <c r="A9" s="47" t="s">
        <v>400</v>
      </c>
    </row>
    <row r="10" spans="1:11" x14ac:dyDescent="0.3">
      <c r="A10" s="47" t="s">
        <v>402</v>
      </c>
      <c r="D10" s="48" t="s">
        <v>420</v>
      </c>
      <c r="H10" s="50" t="s">
        <v>465</v>
      </c>
      <c r="I10" s="51" t="s">
        <v>505</v>
      </c>
    </row>
    <row r="11" spans="1:11" x14ac:dyDescent="0.3">
      <c r="D11" s="47" t="s">
        <v>33</v>
      </c>
      <c r="K11" s="47" t="s">
        <v>512</v>
      </c>
    </row>
    <row r="12" spans="1:11" x14ac:dyDescent="0.3">
      <c r="D12" s="47" t="s">
        <v>32</v>
      </c>
      <c r="K12" s="47" t="s">
        <v>513</v>
      </c>
    </row>
    <row r="13" spans="1:11" x14ac:dyDescent="0.3">
      <c r="D13" s="47" t="s">
        <v>480</v>
      </c>
      <c r="K13" s="47" t="s">
        <v>514</v>
      </c>
    </row>
    <row r="14" spans="1:11" x14ac:dyDescent="0.3">
      <c r="A14" s="48" t="s">
        <v>404</v>
      </c>
      <c r="D14" s="48" t="s">
        <v>421</v>
      </c>
    </row>
    <row r="15" spans="1:11" x14ac:dyDescent="0.3">
      <c r="A15" s="47" t="s">
        <v>439</v>
      </c>
      <c r="D15" s="47" t="s">
        <v>422</v>
      </c>
    </row>
    <row r="16" spans="1:11" x14ac:dyDescent="0.3">
      <c r="A16" s="47" t="s">
        <v>444</v>
      </c>
      <c r="D16" s="47" t="s">
        <v>423</v>
      </c>
    </row>
    <row r="17" spans="1:9" x14ac:dyDescent="0.3">
      <c r="A17" s="47" t="s">
        <v>405</v>
      </c>
      <c r="D17" s="47" t="s">
        <v>427</v>
      </c>
    </row>
    <row r="18" spans="1:9" x14ac:dyDescent="0.3">
      <c r="A18" s="47" t="s">
        <v>438</v>
      </c>
      <c r="D18" s="47" t="s">
        <v>424</v>
      </c>
    </row>
    <row r="19" spans="1:9" x14ac:dyDescent="0.3">
      <c r="A19" s="47" t="s">
        <v>410</v>
      </c>
      <c r="D19" s="47" t="s">
        <v>425</v>
      </c>
    </row>
    <row r="20" spans="1:9" x14ac:dyDescent="0.3">
      <c r="A20" s="47" t="s">
        <v>441</v>
      </c>
      <c r="D20" s="47" t="s">
        <v>480</v>
      </c>
    </row>
    <row r="21" spans="1:9" x14ac:dyDescent="0.3">
      <c r="A21" s="47" t="s">
        <v>442</v>
      </c>
    </row>
    <row r="22" spans="1:9" x14ac:dyDescent="0.3">
      <c r="A22" s="47" t="s">
        <v>436</v>
      </c>
      <c r="D22" s="47" t="s">
        <v>486</v>
      </c>
      <c r="I22" s="47" t="s">
        <v>497</v>
      </c>
    </row>
    <row r="23" spans="1:9" x14ac:dyDescent="0.3">
      <c r="A23" s="47" t="s">
        <v>408</v>
      </c>
      <c r="D23" s="47" t="s">
        <v>488</v>
      </c>
      <c r="I23" s="47" t="s">
        <v>495</v>
      </c>
    </row>
    <row r="24" spans="1:9" x14ac:dyDescent="0.3">
      <c r="A24" s="47" t="s">
        <v>407</v>
      </c>
      <c r="D24" s="47" t="s">
        <v>487</v>
      </c>
      <c r="I24" s="47" t="s">
        <v>496</v>
      </c>
    </row>
    <row r="25" spans="1:9" x14ac:dyDescent="0.3">
      <c r="A25" s="47" t="s">
        <v>443</v>
      </c>
      <c r="D25" s="47" t="s">
        <v>489</v>
      </c>
      <c r="I25" s="47" t="s">
        <v>498</v>
      </c>
    </row>
    <row r="26" spans="1:9" x14ac:dyDescent="0.3">
      <c r="A26" s="47" t="s">
        <v>440</v>
      </c>
      <c r="D26" s="47" t="s">
        <v>490</v>
      </c>
      <c r="I26" s="47" t="s">
        <v>504</v>
      </c>
    </row>
    <row r="27" spans="1:9" x14ac:dyDescent="0.3">
      <c r="A27" s="47" t="s">
        <v>406</v>
      </c>
      <c r="D27" s="47" t="s">
        <v>480</v>
      </c>
      <c r="I27" s="47" t="s">
        <v>480</v>
      </c>
    </row>
    <row r="28" spans="1:9" x14ac:dyDescent="0.3">
      <c r="A28" s="47" t="s">
        <v>409</v>
      </c>
    </row>
    <row r="29" spans="1:9" x14ac:dyDescent="0.3">
      <c r="A29" s="47" t="s">
        <v>411</v>
      </c>
    </row>
    <row r="32" spans="1:9" x14ac:dyDescent="0.3">
      <c r="A32" s="47" t="s">
        <v>449</v>
      </c>
    </row>
  </sheetData>
  <sheetProtection algorithmName="SHA-512" hashValue="xBmn0Vjd6ICeG4rf8F9b1sezbPaGp536L82CQq3PYvCwxs7B5RMvCofCnSiidhxz6K6Pi9/alq1TJ2z9cAzNCg==" saltValue="B1F+VxL38wNAc/vOz80mQQ==" spinCount="100000" sheet="1" objects="1" scenarios="1"/>
  <sortState xmlns:xlrd2="http://schemas.microsoft.com/office/spreadsheetml/2017/richdata2" ref="A15:A29">
    <sortCondition ref="A15:A2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theme="1"/>
    <pageSetUpPr fitToPage="1"/>
  </sheetPr>
  <dimension ref="A1:C116"/>
  <sheetViews>
    <sheetView showZeros="0" view="pageLayout" zoomScaleNormal="100" workbookViewId="0">
      <selection activeCell="C1" sqref="C1"/>
    </sheetView>
  </sheetViews>
  <sheetFormatPr baseColWidth="10" defaultRowHeight="14.4" x14ac:dyDescent="0.3"/>
  <cols>
    <col min="1" max="1" width="20.33203125" style="4" customWidth="1"/>
    <col min="2" max="2" width="2.33203125" style="4" customWidth="1"/>
    <col min="3" max="3" width="66.5546875" style="3" customWidth="1"/>
    <col min="4" max="4" width="14.5546875" customWidth="1"/>
  </cols>
  <sheetData>
    <row r="1" spans="1:3" x14ac:dyDescent="0.3">
      <c r="A1" s="90" t="s">
        <v>31</v>
      </c>
      <c r="B1" s="93"/>
      <c r="C1" s="94"/>
    </row>
    <row r="2" spans="1:3" s="2" customFormat="1" x14ac:dyDescent="0.3">
      <c r="A2" s="34" t="s">
        <v>0</v>
      </c>
      <c r="B2" s="35"/>
      <c r="C2" s="10">
        <f>'1 Lancement utilisateur '!B13</f>
        <v>0</v>
      </c>
    </row>
    <row r="3" spans="1:3" x14ac:dyDescent="0.3">
      <c r="A3" s="36" t="s">
        <v>391</v>
      </c>
      <c r="B3" s="37"/>
      <c r="C3" s="10">
        <f>'1 Lancement utilisateur '!B10</f>
        <v>0</v>
      </c>
    </row>
    <row r="4" spans="1:3" ht="28.8" x14ac:dyDescent="0.3">
      <c r="A4" s="14" t="s">
        <v>392</v>
      </c>
      <c r="C4" s="10"/>
    </row>
    <row r="5" spans="1:3" x14ac:dyDescent="0.3">
      <c r="A5" s="5" t="s">
        <v>1</v>
      </c>
      <c r="C5" s="6"/>
    </row>
    <row r="6" spans="1:3" ht="15" customHeight="1" thickBot="1" x14ac:dyDescent="0.35">
      <c r="A6" s="7" t="s">
        <v>3</v>
      </c>
      <c r="B6" s="8"/>
      <c r="C6" s="9"/>
    </row>
    <row r="7" spans="1:3" ht="15" customHeight="1" thickBot="1" x14ac:dyDescent="0.35"/>
    <row r="8" spans="1:3" ht="15" customHeight="1" x14ac:dyDescent="0.3">
      <c r="A8" s="90" t="s">
        <v>17</v>
      </c>
      <c r="B8" s="93"/>
      <c r="C8" s="94"/>
    </row>
    <row r="9" spans="1:3" ht="15" customHeight="1" x14ac:dyDescent="0.3">
      <c r="A9" s="5" t="s">
        <v>18</v>
      </c>
      <c r="C9" s="6"/>
    </row>
    <row r="10" spans="1:3" ht="15" customHeight="1" x14ac:dyDescent="0.3">
      <c r="A10" s="5" t="s">
        <v>19</v>
      </c>
      <c r="C10" s="6"/>
    </row>
    <row r="11" spans="1:3" ht="15" customHeight="1" thickBot="1" x14ac:dyDescent="0.35">
      <c r="A11" s="7" t="s">
        <v>20</v>
      </c>
      <c r="B11" s="8"/>
      <c r="C11" s="9"/>
    </row>
    <row r="12" spans="1:3" ht="15" customHeight="1" thickBot="1" x14ac:dyDescent="0.35"/>
    <row r="13" spans="1:3" ht="15" customHeight="1" x14ac:dyDescent="0.3">
      <c r="A13" s="90" t="s">
        <v>8</v>
      </c>
      <c r="B13" s="93"/>
      <c r="C13" s="94"/>
    </row>
    <row r="14" spans="1:3" x14ac:dyDescent="0.3">
      <c r="A14" s="5" t="s">
        <v>12</v>
      </c>
      <c r="C14" s="6"/>
    </row>
    <row r="15" spans="1:3" x14ac:dyDescent="0.3">
      <c r="A15" s="5" t="s">
        <v>14</v>
      </c>
      <c r="C15" s="6"/>
    </row>
    <row r="16" spans="1:3" x14ac:dyDescent="0.3">
      <c r="A16" s="5" t="s">
        <v>40</v>
      </c>
      <c r="C16" s="6"/>
    </row>
    <row r="17" spans="1:3" x14ac:dyDescent="0.3">
      <c r="A17" s="5" t="s">
        <v>16</v>
      </c>
      <c r="C17" s="6"/>
    </row>
    <row r="18" spans="1:3" x14ac:dyDescent="0.3">
      <c r="A18" s="5" t="s">
        <v>41</v>
      </c>
      <c r="C18" s="6"/>
    </row>
    <row r="19" spans="1:3" ht="15" thickBot="1" x14ac:dyDescent="0.35">
      <c r="A19" s="7" t="s">
        <v>15</v>
      </c>
      <c r="B19" s="8"/>
      <c r="C19" s="9"/>
    </row>
    <row r="20" spans="1:3" ht="15" thickBot="1" x14ac:dyDescent="0.35"/>
    <row r="21" spans="1:3" x14ac:dyDescent="0.3">
      <c r="A21" s="90" t="s">
        <v>9</v>
      </c>
      <c r="B21" s="93"/>
      <c r="C21" s="94"/>
    </row>
    <row r="22" spans="1:3" x14ac:dyDescent="0.3">
      <c r="A22" s="5" t="s">
        <v>39</v>
      </c>
      <c r="C22" s="6"/>
    </row>
    <row r="23" spans="1:3" s="1" customFormat="1" ht="31.5" customHeight="1" x14ac:dyDescent="0.3">
      <c r="A23" s="5" t="s">
        <v>42</v>
      </c>
      <c r="B23" s="4"/>
      <c r="C23" s="6"/>
    </row>
    <row r="24" spans="1:3" x14ac:dyDescent="0.3">
      <c r="A24" s="5" t="s">
        <v>43</v>
      </c>
      <c r="C24" s="6"/>
    </row>
    <row r="25" spans="1:3" x14ac:dyDescent="0.3">
      <c r="A25" s="5" t="s">
        <v>44</v>
      </c>
      <c r="C25" s="6"/>
    </row>
    <row r="26" spans="1:3" x14ac:dyDescent="0.3">
      <c r="A26" s="5" t="s">
        <v>45</v>
      </c>
      <c r="C26" s="6"/>
    </row>
    <row r="27" spans="1:3" x14ac:dyDescent="0.3">
      <c r="A27" s="5" t="s">
        <v>46</v>
      </c>
      <c r="C27" s="6"/>
    </row>
    <row r="28" spans="1:3" x14ac:dyDescent="0.3">
      <c r="A28" s="5" t="s">
        <v>47</v>
      </c>
      <c r="C28" s="6"/>
    </row>
    <row r="29" spans="1:3" x14ac:dyDescent="0.3">
      <c r="A29" s="5" t="s">
        <v>48</v>
      </c>
      <c r="C29" s="6"/>
    </row>
    <row r="30" spans="1:3" x14ac:dyDescent="0.3">
      <c r="A30" s="5" t="s">
        <v>49</v>
      </c>
      <c r="C30" s="6"/>
    </row>
    <row r="31" spans="1:3" x14ac:dyDescent="0.3">
      <c r="A31" s="5" t="s">
        <v>50</v>
      </c>
      <c r="C31" s="6"/>
    </row>
    <row r="32" spans="1:3" ht="15" thickBot="1" x14ac:dyDescent="0.35">
      <c r="A32" s="15" t="s">
        <v>51</v>
      </c>
      <c r="B32" s="16"/>
      <c r="C32" s="17"/>
    </row>
    <row r="33" spans="1:3" x14ac:dyDescent="0.3">
      <c r="A33" s="5" t="s">
        <v>52</v>
      </c>
      <c r="C33" s="6"/>
    </row>
    <row r="34" spans="1:3" ht="28.8" x14ac:dyDescent="0.3">
      <c r="A34" s="5" t="s">
        <v>53</v>
      </c>
      <c r="C34" s="6"/>
    </row>
    <row r="35" spans="1:3" x14ac:dyDescent="0.3">
      <c r="A35" s="5" t="s">
        <v>54</v>
      </c>
      <c r="C35" s="6"/>
    </row>
    <row r="36" spans="1:3" x14ac:dyDescent="0.3">
      <c r="A36" s="5" t="s">
        <v>55</v>
      </c>
      <c r="C36" s="6"/>
    </row>
    <row r="37" spans="1:3" x14ac:dyDescent="0.3">
      <c r="A37" s="5" t="s">
        <v>56</v>
      </c>
      <c r="C37" s="6"/>
    </row>
    <row r="38" spans="1:3" x14ac:dyDescent="0.3">
      <c r="A38" s="5" t="s">
        <v>57</v>
      </c>
      <c r="C38" s="6"/>
    </row>
    <row r="39" spans="1:3" ht="28.8" x14ac:dyDescent="0.3">
      <c r="A39" s="5" t="s">
        <v>58</v>
      </c>
      <c r="C39" s="6"/>
    </row>
    <row r="40" spans="1:3" ht="15" thickBot="1" x14ac:dyDescent="0.35">
      <c r="A40" s="15" t="s">
        <v>59</v>
      </c>
      <c r="B40" s="16"/>
      <c r="C40" s="17"/>
    </row>
    <row r="41" spans="1:3" x14ac:dyDescent="0.3">
      <c r="A41" s="5" t="s">
        <v>60</v>
      </c>
      <c r="C41" s="6"/>
    </row>
    <row r="42" spans="1:3" x14ac:dyDescent="0.3">
      <c r="A42" s="5" t="s">
        <v>61</v>
      </c>
      <c r="C42" s="6"/>
    </row>
    <row r="43" spans="1:3" x14ac:dyDescent="0.3">
      <c r="A43" s="5" t="s">
        <v>62</v>
      </c>
      <c r="C43" s="6"/>
    </row>
    <row r="44" spans="1:3" x14ac:dyDescent="0.3">
      <c r="A44" s="5" t="s">
        <v>63</v>
      </c>
      <c r="C44" s="6"/>
    </row>
    <row r="45" spans="1:3" x14ac:dyDescent="0.3">
      <c r="A45" s="5" t="s">
        <v>64</v>
      </c>
      <c r="C45" s="6"/>
    </row>
    <row r="46" spans="1:3" x14ac:dyDescent="0.3">
      <c r="A46" s="5" t="s">
        <v>65</v>
      </c>
      <c r="C46" s="6"/>
    </row>
    <row r="47" spans="1:3" x14ac:dyDescent="0.3">
      <c r="A47" s="5" t="s">
        <v>66</v>
      </c>
      <c r="C47" s="6"/>
    </row>
    <row r="48" spans="1:3" x14ac:dyDescent="0.3">
      <c r="A48" s="5" t="s">
        <v>67</v>
      </c>
      <c r="C48" s="6"/>
    </row>
    <row r="49" spans="1:3" x14ac:dyDescent="0.3">
      <c r="A49" s="5" t="s">
        <v>68</v>
      </c>
      <c r="C49" s="6"/>
    </row>
    <row r="50" spans="1:3" x14ac:dyDescent="0.3">
      <c r="A50" s="5" t="s">
        <v>69</v>
      </c>
      <c r="C50" s="6"/>
    </row>
    <row r="51" spans="1:3" x14ac:dyDescent="0.3">
      <c r="A51" s="5" t="s">
        <v>70</v>
      </c>
      <c r="C51" s="6"/>
    </row>
    <row r="52" spans="1:3" x14ac:dyDescent="0.3">
      <c r="A52" s="5" t="s">
        <v>71</v>
      </c>
      <c r="C52" s="6"/>
    </row>
    <row r="53" spans="1:3" x14ac:dyDescent="0.3">
      <c r="A53" s="5" t="s">
        <v>72</v>
      </c>
      <c r="C53" s="6"/>
    </row>
    <row r="54" spans="1:3" ht="15" thickBot="1" x14ac:dyDescent="0.35">
      <c r="A54" s="15" t="s">
        <v>73</v>
      </c>
      <c r="B54" s="16"/>
      <c r="C54" s="17"/>
    </row>
    <row r="55" spans="1:3" x14ac:dyDescent="0.3">
      <c r="A55" s="5" t="s">
        <v>74</v>
      </c>
      <c r="C55" s="6"/>
    </row>
    <row r="56" spans="1:3" x14ac:dyDescent="0.3">
      <c r="A56" s="5" t="s">
        <v>75</v>
      </c>
      <c r="C56" s="6"/>
    </row>
    <row r="57" spans="1:3" x14ac:dyDescent="0.3">
      <c r="A57" s="5" t="s">
        <v>76</v>
      </c>
      <c r="C57" s="6"/>
    </row>
    <row r="58" spans="1:3" x14ac:dyDescent="0.3">
      <c r="A58" s="5" t="s">
        <v>77</v>
      </c>
      <c r="C58" s="6"/>
    </row>
    <row r="59" spans="1:3" x14ac:dyDescent="0.3">
      <c r="A59" s="5" t="s">
        <v>78</v>
      </c>
      <c r="C59" s="6"/>
    </row>
    <row r="60" spans="1:3" x14ac:dyDescent="0.3">
      <c r="A60" s="5" t="s">
        <v>79</v>
      </c>
      <c r="C60" s="6"/>
    </row>
    <row r="61" spans="1:3" ht="28.8" x14ac:dyDescent="0.3">
      <c r="A61" s="5" t="s">
        <v>80</v>
      </c>
      <c r="C61" s="6"/>
    </row>
    <row r="62" spans="1:3" x14ac:dyDescent="0.3">
      <c r="A62" s="5" t="s">
        <v>81</v>
      </c>
      <c r="C62" s="6"/>
    </row>
    <row r="63" spans="1:3" x14ac:dyDescent="0.3">
      <c r="A63" s="5" t="s">
        <v>13</v>
      </c>
      <c r="C63" s="6"/>
    </row>
    <row r="64" spans="1:3" x14ac:dyDescent="0.3">
      <c r="A64" s="5" t="s">
        <v>21</v>
      </c>
      <c r="C64" s="6"/>
    </row>
    <row r="65" spans="1:3" x14ac:dyDescent="0.3">
      <c r="A65" s="5" t="s">
        <v>34</v>
      </c>
      <c r="C65" s="6"/>
    </row>
    <row r="66" spans="1:3" ht="15" thickBot="1" x14ac:dyDescent="0.35">
      <c r="A66" s="7" t="s">
        <v>15</v>
      </c>
      <c r="B66" s="8"/>
      <c r="C66" s="9"/>
    </row>
    <row r="67" spans="1:3" ht="15" thickBot="1" x14ac:dyDescent="0.35"/>
    <row r="68" spans="1:3" x14ac:dyDescent="0.3">
      <c r="A68" s="90" t="s">
        <v>10</v>
      </c>
      <c r="B68" s="93"/>
      <c r="C68" s="94"/>
    </row>
    <row r="69" spans="1:3" x14ac:dyDescent="0.3">
      <c r="A69" s="5" t="s">
        <v>22</v>
      </c>
      <c r="B69" s="1"/>
      <c r="C69" s="11"/>
    </row>
    <row r="70" spans="1:3" x14ac:dyDescent="0.3">
      <c r="A70" s="5" t="s">
        <v>23</v>
      </c>
      <c r="B70" s="1"/>
      <c r="C70" s="11"/>
    </row>
    <row r="71" spans="1:3" x14ac:dyDescent="0.3">
      <c r="A71" s="5" t="s">
        <v>24</v>
      </c>
      <c r="B71" s="1"/>
      <c r="C71" s="11"/>
    </row>
    <row r="72" spans="1:3" ht="15" thickBot="1" x14ac:dyDescent="0.35">
      <c r="A72" s="7" t="s">
        <v>15</v>
      </c>
      <c r="B72" s="12"/>
      <c r="C72" s="13"/>
    </row>
    <row r="73" spans="1:3" ht="15" thickBot="1" x14ac:dyDescent="0.35"/>
    <row r="74" spans="1:3" x14ac:dyDescent="0.3">
      <c r="A74" s="90" t="s">
        <v>11</v>
      </c>
      <c r="B74" s="95"/>
      <c r="C74" s="96"/>
    </row>
    <row r="75" spans="1:3" x14ac:dyDescent="0.3">
      <c r="A75" s="5" t="s">
        <v>25</v>
      </c>
      <c r="C75" s="6"/>
    </row>
    <row r="76" spans="1:3" x14ac:dyDescent="0.3">
      <c r="A76" s="5" t="s">
        <v>26</v>
      </c>
      <c r="C76" s="6"/>
    </row>
    <row r="77" spans="1:3" x14ac:dyDescent="0.3">
      <c r="A77" s="5" t="s">
        <v>27</v>
      </c>
      <c r="C77" s="6"/>
    </row>
    <row r="78" spans="1:3" ht="15" thickBot="1" x14ac:dyDescent="0.35">
      <c r="A78" s="7" t="s">
        <v>15</v>
      </c>
      <c r="B78" s="8"/>
      <c r="C78" s="9"/>
    </row>
    <row r="79" spans="1:3" ht="15" thickBot="1" x14ac:dyDescent="0.35"/>
    <row r="80" spans="1:3" x14ac:dyDescent="0.3">
      <c r="A80" s="90" t="s">
        <v>35</v>
      </c>
      <c r="B80" s="91"/>
      <c r="C80" s="92"/>
    </row>
    <row r="81" spans="1:3" x14ac:dyDescent="0.3">
      <c r="A81" s="5" t="s">
        <v>36</v>
      </c>
      <c r="B81" s="4">
        <v>1</v>
      </c>
      <c r="C81" s="6"/>
    </row>
    <row r="82" spans="1:3" x14ac:dyDescent="0.3">
      <c r="A82" s="5"/>
      <c r="B82" s="4">
        <v>2</v>
      </c>
      <c r="C82" s="6"/>
    </row>
    <row r="83" spans="1:3" x14ac:dyDescent="0.3">
      <c r="A83" s="5"/>
      <c r="B83" s="4">
        <v>3</v>
      </c>
      <c r="C83" s="6"/>
    </row>
    <row r="84" spans="1:3" x14ac:dyDescent="0.3">
      <c r="A84" s="5"/>
      <c r="B84" s="4" t="s">
        <v>2</v>
      </c>
      <c r="C84" s="6"/>
    </row>
    <row r="85" spans="1:3" x14ac:dyDescent="0.3">
      <c r="A85" s="5" t="s">
        <v>37</v>
      </c>
      <c r="B85" s="4">
        <v>1</v>
      </c>
      <c r="C85" s="6"/>
    </row>
    <row r="86" spans="1:3" x14ac:dyDescent="0.3">
      <c r="A86" s="5"/>
      <c r="B86" s="4">
        <v>2</v>
      </c>
      <c r="C86" s="6"/>
    </row>
    <row r="87" spans="1:3" x14ac:dyDescent="0.3">
      <c r="A87" s="5"/>
      <c r="B87" s="4">
        <v>3</v>
      </c>
      <c r="C87" s="6"/>
    </row>
    <row r="88" spans="1:3" x14ac:dyDescent="0.3">
      <c r="A88" s="5"/>
      <c r="B88" s="4" t="s">
        <v>2</v>
      </c>
      <c r="C88" s="6"/>
    </row>
    <row r="89" spans="1:3" x14ac:dyDescent="0.3">
      <c r="A89" s="5" t="s">
        <v>34</v>
      </c>
      <c r="C89" s="6"/>
    </row>
    <row r="90" spans="1:3" x14ac:dyDescent="0.3">
      <c r="A90" s="5" t="s">
        <v>82</v>
      </c>
      <c r="C90" s="6"/>
    </row>
    <row r="91" spans="1:3" x14ac:dyDescent="0.3">
      <c r="A91" s="5" t="s">
        <v>83</v>
      </c>
      <c r="C91" s="6"/>
    </row>
    <row r="92" spans="1:3" x14ac:dyDescent="0.3">
      <c r="A92" s="5" t="s">
        <v>38</v>
      </c>
      <c r="C92" s="6"/>
    </row>
    <row r="93" spans="1:3" ht="15" thickBot="1" x14ac:dyDescent="0.35">
      <c r="A93" s="7" t="s">
        <v>15</v>
      </c>
      <c r="B93" s="8"/>
      <c r="C93" s="9"/>
    </row>
    <row r="94" spans="1:3" ht="15" thickBot="1" x14ac:dyDescent="0.35"/>
    <row r="95" spans="1:3" x14ac:dyDescent="0.3">
      <c r="A95" s="90" t="s">
        <v>6</v>
      </c>
      <c r="B95" s="91"/>
      <c r="C95" s="92"/>
    </row>
    <row r="96" spans="1:3" x14ac:dyDescent="0.3">
      <c r="A96" s="5" t="s">
        <v>5</v>
      </c>
      <c r="B96" s="4">
        <v>1</v>
      </c>
      <c r="C96" s="6"/>
    </row>
    <row r="97" spans="1:3" x14ac:dyDescent="0.3">
      <c r="A97" s="5"/>
      <c r="B97" s="4">
        <v>2</v>
      </c>
      <c r="C97" s="6"/>
    </row>
    <row r="98" spans="1:3" x14ac:dyDescent="0.3">
      <c r="A98" s="5"/>
      <c r="B98" s="4">
        <v>3</v>
      </c>
      <c r="C98" s="6"/>
    </row>
    <row r="99" spans="1:3" x14ac:dyDescent="0.3">
      <c r="A99" s="5"/>
      <c r="B99" s="4" t="s">
        <v>2</v>
      </c>
      <c r="C99" s="6"/>
    </row>
    <row r="100" spans="1:3" x14ac:dyDescent="0.3">
      <c r="A100" s="5" t="s">
        <v>7</v>
      </c>
      <c r="B100" s="4">
        <v>1</v>
      </c>
      <c r="C100" s="6"/>
    </row>
    <row r="101" spans="1:3" x14ac:dyDescent="0.3">
      <c r="A101" s="5"/>
      <c r="B101" s="4">
        <v>2</v>
      </c>
      <c r="C101" s="6"/>
    </row>
    <row r="102" spans="1:3" x14ac:dyDescent="0.3">
      <c r="A102" s="5"/>
      <c r="B102" s="4">
        <v>3</v>
      </c>
      <c r="C102" s="6"/>
    </row>
    <row r="103" spans="1:3" ht="15" thickBot="1" x14ac:dyDescent="0.35">
      <c r="A103" s="7"/>
      <c r="B103" s="8" t="s">
        <v>2</v>
      </c>
      <c r="C103" s="9"/>
    </row>
    <row r="104" spans="1:3" ht="15" thickBot="1" x14ac:dyDescent="0.35"/>
    <row r="105" spans="1:3" x14ac:dyDescent="0.3">
      <c r="A105" s="90" t="s">
        <v>84</v>
      </c>
      <c r="B105" s="91"/>
      <c r="C105" s="92"/>
    </row>
    <row r="106" spans="1:3" x14ac:dyDescent="0.3">
      <c r="A106" s="5" t="s">
        <v>29</v>
      </c>
      <c r="C106" s="6"/>
    </row>
    <row r="107" spans="1:3" x14ac:dyDescent="0.3">
      <c r="A107" s="5" t="s">
        <v>28</v>
      </c>
      <c r="C107" s="6"/>
    </row>
    <row r="108" spans="1:3" x14ac:dyDescent="0.3">
      <c r="A108" s="5" t="s">
        <v>30</v>
      </c>
      <c r="C108" s="6"/>
    </row>
    <row r="109" spans="1:3" x14ac:dyDescent="0.3">
      <c r="A109" s="5" t="s">
        <v>29</v>
      </c>
      <c r="C109" s="6"/>
    </row>
    <row r="110" spans="1:3" x14ac:dyDescent="0.3">
      <c r="A110" s="5" t="s">
        <v>28</v>
      </c>
      <c r="C110" s="6"/>
    </row>
    <row r="111" spans="1:3" ht="15" thickBot="1" x14ac:dyDescent="0.35">
      <c r="A111" s="7" t="s">
        <v>30</v>
      </c>
      <c r="B111" s="8"/>
      <c r="C111" s="9"/>
    </row>
    <row r="112" spans="1:3" ht="15" thickBot="1" x14ac:dyDescent="0.35"/>
    <row r="113" spans="1:3" x14ac:dyDescent="0.3">
      <c r="A113" s="90" t="s">
        <v>368</v>
      </c>
      <c r="B113" s="91"/>
      <c r="C113" s="92"/>
    </row>
    <row r="114" spans="1:3" x14ac:dyDescent="0.3">
      <c r="A114" s="5" t="s">
        <v>365</v>
      </c>
      <c r="C114" s="6"/>
    </row>
    <row r="115" spans="1:3" x14ac:dyDescent="0.3">
      <c r="A115" s="5" t="s">
        <v>366</v>
      </c>
      <c r="C115" s="6"/>
    </row>
    <row r="116" spans="1:3" ht="15" thickBot="1" x14ac:dyDescent="0.35">
      <c r="A116" s="22" t="s">
        <v>367</v>
      </c>
      <c r="B116" s="8"/>
      <c r="C116" s="9"/>
    </row>
  </sheetData>
  <mergeCells count="10">
    <mergeCell ref="A113:C113"/>
    <mergeCell ref="A95:C95"/>
    <mergeCell ref="A105:C105"/>
    <mergeCell ref="A80:C80"/>
    <mergeCell ref="A1:C1"/>
    <mergeCell ref="A8:C8"/>
    <mergeCell ref="A13:C13"/>
    <mergeCell ref="A21:C21"/>
    <mergeCell ref="A68:C68"/>
    <mergeCell ref="A74:C74"/>
  </mergeCells>
  <pageMargins left="0.43307086614173229" right="0.70866141732283472" top="1.299212598425197" bottom="0.74803149606299213" header="0.31496062992125984" footer="0.31496062992125984"/>
  <pageSetup paperSize="9" fitToHeight="0" orientation="portrait" r:id="rId1"/>
  <headerFooter>
    <oddHeader>&amp;L&amp;"-,Gras"&amp;14Fiche interservices d'achat
Partie Service Technique
Fiche&amp;R&amp;G</oddHeader>
    <oddFooter>&amp;LPartie technique et bâtiment
 page &amp;P/&amp;N&amp;RV1.0 // 2022 06 08</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pageSetUpPr fitToPage="1"/>
  </sheetPr>
  <dimension ref="A1:F104"/>
  <sheetViews>
    <sheetView showZeros="0" view="pageLayout" topLeftCell="B1" zoomScaleNormal="100" workbookViewId="0">
      <selection activeCell="C1" sqref="C1"/>
    </sheetView>
  </sheetViews>
  <sheetFormatPr baseColWidth="10" defaultColWidth="11.44140625" defaultRowHeight="14.4" x14ac:dyDescent="0.3"/>
  <cols>
    <col min="1" max="1" width="11.44140625" hidden="1" customWidth="1"/>
    <col min="2" max="2" width="10.44140625" style="4" customWidth="1"/>
    <col min="3" max="3" width="13.6640625" style="21" customWidth="1"/>
    <col min="4" max="4" width="14.44140625" customWidth="1"/>
    <col min="5" max="6" width="42.109375" customWidth="1"/>
  </cols>
  <sheetData>
    <row r="1" spans="1:6" s="2" customFormat="1" x14ac:dyDescent="0.3">
      <c r="B1" s="100" t="s">
        <v>0</v>
      </c>
      <c r="C1" s="101"/>
      <c r="D1" s="102">
        <f>'1 Lancement utilisateur '!B13</f>
        <v>0</v>
      </c>
      <c r="E1" s="102"/>
      <c r="F1" s="31"/>
    </row>
    <row r="2" spans="1:6" s="2" customFormat="1" ht="15" thickBot="1" x14ac:dyDescent="0.35">
      <c r="B2" s="98" t="s">
        <v>391</v>
      </c>
      <c r="C2" s="99"/>
      <c r="D2" s="97">
        <f>'1 Lancement utilisateur '!B10</f>
        <v>0</v>
      </c>
      <c r="E2" s="97"/>
      <c r="F2" s="32"/>
    </row>
    <row r="3" spans="1:6" ht="6" customHeight="1" x14ac:dyDescent="0.3">
      <c r="C3"/>
    </row>
    <row r="4" spans="1:6" ht="47.25" customHeight="1" x14ac:dyDescent="0.3">
      <c r="A4" t="s">
        <v>372</v>
      </c>
      <c r="B4" s="18" t="s">
        <v>156</v>
      </c>
      <c r="C4" s="18" t="s">
        <v>374</v>
      </c>
      <c r="D4" s="18" t="s">
        <v>152</v>
      </c>
      <c r="E4" s="18" t="s">
        <v>153</v>
      </c>
      <c r="F4" s="19" t="s">
        <v>155</v>
      </c>
    </row>
    <row r="5" spans="1:6" x14ac:dyDescent="0.3">
      <c r="A5" t="e">
        <f>_xlfn.CONCAT(#REF!,#REF!)</f>
        <v>#REF!</v>
      </c>
      <c r="B5" s="20" t="s">
        <v>160</v>
      </c>
      <c r="D5" s="21"/>
      <c r="E5" s="21"/>
      <c r="F5" s="21"/>
    </row>
    <row r="6" spans="1:6" x14ac:dyDescent="0.3">
      <c r="A6" t="e">
        <f>_xlfn.CONCAT(#REF!,#REF!)</f>
        <v>#REF!</v>
      </c>
      <c r="B6" s="20" t="s">
        <v>161</v>
      </c>
      <c r="D6" s="21"/>
      <c r="E6" s="21"/>
      <c r="F6" s="21"/>
    </row>
    <row r="7" spans="1:6" x14ac:dyDescent="0.3">
      <c r="A7" t="e">
        <f>_xlfn.CONCAT(#REF!,#REF!)</f>
        <v>#REF!</v>
      </c>
      <c r="B7" s="20" t="s">
        <v>162</v>
      </c>
      <c r="D7" s="21"/>
      <c r="E7" s="21"/>
      <c r="F7" s="21"/>
    </row>
    <row r="8" spans="1:6" x14ac:dyDescent="0.3">
      <c r="A8" t="e">
        <f>_xlfn.CONCAT(#REF!,#REF!)</f>
        <v>#REF!</v>
      </c>
      <c r="B8" s="20" t="s">
        <v>163</v>
      </c>
      <c r="D8" s="21"/>
      <c r="E8" s="21"/>
      <c r="F8" s="21"/>
    </row>
    <row r="9" spans="1:6" x14ac:dyDescent="0.3">
      <c r="A9" t="e">
        <f>_xlfn.CONCAT(#REF!,#REF!)</f>
        <v>#REF!</v>
      </c>
      <c r="B9" s="20" t="s">
        <v>164</v>
      </c>
      <c r="D9" s="21"/>
      <c r="E9" s="21"/>
      <c r="F9" s="21"/>
    </row>
    <row r="10" spans="1:6" x14ac:dyDescent="0.3">
      <c r="A10" t="e">
        <f>_xlfn.CONCAT(#REF!,#REF!)</f>
        <v>#REF!</v>
      </c>
      <c r="B10" s="20" t="s">
        <v>165</v>
      </c>
      <c r="D10" s="21"/>
      <c r="E10" s="21"/>
      <c r="F10" s="21"/>
    </row>
    <row r="11" spans="1:6" x14ac:dyDescent="0.3">
      <c r="A11" t="e">
        <f>_xlfn.CONCAT(#REF!,#REF!)</f>
        <v>#REF!</v>
      </c>
      <c r="B11" s="20" t="s">
        <v>166</v>
      </c>
      <c r="D11" s="21"/>
      <c r="E11" s="21"/>
      <c r="F11" s="21"/>
    </row>
    <row r="12" spans="1:6" x14ac:dyDescent="0.3">
      <c r="A12" t="e">
        <f>_xlfn.CONCAT(#REF!,#REF!)</f>
        <v>#REF!</v>
      </c>
      <c r="B12" s="20" t="s">
        <v>167</v>
      </c>
      <c r="D12" s="21"/>
      <c r="E12" s="21"/>
      <c r="F12" s="21"/>
    </row>
    <row r="13" spans="1:6" x14ac:dyDescent="0.3">
      <c r="A13" t="e">
        <f>_xlfn.CONCAT(#REF!,#REF!)</f>
        <v>#REF!</v>
      </c>
      <c r="B13" s="20" t="s">
        <v>168</v>
      </c>
      <c r="D13" s="21"/>
      <c r="E13" s="21"/>
      <c r="F13" s="21"/>
    </row>
    <row r="14" spans="1:6" x14ac:dyDescent="0.3">
      <c r="A14" t="e">
        <f>_xlfn.CONCAT(#REF!,#REF!)</f>
        <v>#REF!</v>
      </c>
      <c r="B14" s="20" t="s">
        <v>169</v>
      </c>
      <c r="D14" s="21"/>
      <c r="E14" s="21"/>
      <c r="F14" s="21"/>
    </row>
    <row r="15" spans="1:6" x14ac:dyDescent="0.3">
      <c r="A15" t="e">
        <f>_xlfn.CONCAT(#REF!,#REF!)</f>
        <v>#REF!</v>
      </c>
      <c r="B15" s="20" t="s">
        <v>170</v>
      </c>
      <c r="D15" s="21"/>
      <c r="E15" s="21"/>
      <c r="F15" s="21"/>
    </row>
    <row r="16" spans="1:6" x14ac:dyDescent="0.3">
      <c r="A16" t="e">
        <f>_xlfn.CONCAT(#REF!,#REF!)</f>
        <v>#REF!</v>
      </c>
      <c r="B16" s="20" t="s">
        <v>171</v>
      </c>
      <c r="D16" s="21"/>
      <c r="E16" s="21"/>
      <c r="F16" s="21"/>
    </row>
    <row r="17" spans="1:6" x14ac:dyDescent="0.3">
      <c r="A17" t="e">
        <f>_xlfn.CONCAT(#REF!,#REF!)</f>
        <v>#REF!</v>
      </c>
      <c r="B17" s="20" t="s">
        <v>172</v>
      </c>
      <c r="D17" s="21"/>
      <c r="E17" s="21"/>
      <c r="F17" s="21"/>
    </row>
    <row r="18" spans="1:6" x14ac:dyDescent="0.3">
      <c r="A18" t="e">
        <f>_xlfn.CONCAT(#REF!,#REF!)</f>
        <v>#REF!</v>
      </c>
      <c r="B18" s="20" t="s">
        <v>173</v>
      </c>
      <c r="D18" s="21"/>
      <c r="E18" s="21"/>
      <c r="F18" s="21"/>
    </row>
    <row r="19" spans="1:6" x14ac:dyDescent="0.3">
      <c r="A19" t="e">
        <f>_xlfn.CONCAT(#REF!,#REF!)</f>
        <v>#REF!</v>
      </c>
      <c r="B19" s="20" t="s">
        <v>174</v>
      </c>
      <c r="D19" s="21"/>
      <c r="E19" s="21"/>
      <c r="F19" s="21"/>
    </row>
    <row r="20" spans="1:6" x14ac:dyDescent="0.3">
      <c r="A20" t="e">
        <f>_xlfn.CONCAT(#REF!,#REF!)</f>
        <v>#REF!</v>
      </c>
      <c r="B20" s="20" t="s">
        <v>175</v>
      </c>
      <c r="D20" s="21"/>
      <c r="E20" s="21"/>
      <c r="F20" s="21"/>
    </row>
    <row r="21" spans="1:6" x14ac:dyDescent="0.3">
      <c r="A21" t="e">
        <f>_xlfn.CONCAT(#REF!,#REF!)</f>
        <v>#REF!</v>
      </c>
      <c r="B21" s="20" t="s">
        <v>176</v>
      </c>
      <c r="D21" s="21"/>
      <c r="E21" s="21"/>
      <c r="F21" s="21"/>
    </row>
    <row r="22" spans="1:6" x14ac:dyDescent="0.3">
      <c r="A22" t="e">
        <f>_xlfn.CONCAT(#REF!,#REF!)</f>
        <v>#REF!</v>
      </c>
      <c r="B22" s="20" t="s">
        <v>177</v>
      </c>
      <c r="D22" s="21"/>
      <c r="E22" s="21"/>
      <c r="F22" s="21"/>
    </row>
    <row r="23" spans="1:6" x14ac:dyDescent="0.3">
      <c r="A23" t="e">
        <f>_xlfn.CONCAT(#REF!,#REF!)</f>
        <v>#REF!</v>
      </c>
      <c r="B23" s="20" t="s">
        <v>178</v>
      </c>
      <c r="D23" s="21"/>
      <c r="E23" s="21"/>
      <c r="F23" s="21"/>
    </row>
    <row r="24" spans="1:6" x14ac:dyDescent="0.3">
      <c r="A24" t="e">
        <f>_xlfn.CONCAT(#REF!,#REF!)</f>
        <v>#REF!</v>
      </c>
      <c r="B24" s="20" t="s">
        <v>179</v>
      </c>
      <c r="D24" s="21"/>
      <c r="E24" s="21"/>
      <c r="F24" s="21"/>
    </row>
    <row r="25" spans="1:6" x14ac:dyDescent="0.3">
      <c r="A25" t="e">
        <f>_xlfn.CONCAT(#REF!,#REF!)</f>
        <v>#REF!</v>
      </c>
      <c r="B25" s="20" t="s">
        <v>180</v>
      </c>
      <c r="D25" s="21"/>
      <c r="E25" s="21"/>
      <c r="F25" s="21"/>
    </row>
    <row r="26" spans="1:6" x14ac:dyDescent="0.3">
      <c r="A26" t="e">
        <f>_xlfn.CONCAT(#REF!,#REF!)</f>
        <v>#REF!</v>
      </c>
      <c r="B26" s="20" t="s">
        <v>181</v>
      </c>
      <c r="D26" s="21"/>
      <c r="E26" s="21"/>
      <c r="F26" s="21"/>
    </row>
    <row r="27" spans="1:6" x14ac:dyDescent="0.3">
      <c r="A27" t="e">
        <f>_xlfn.CONCAT(#REF!,#REF!)</f>
        <v>#REF!</v>
      </c>
      <c r="B27" s="20" t="s">
        <v>182</v>
      </c>
      <c r="D27" s="21"/>
      <c r="E27" s="21"/>
      <c r="F27" s="21"/>
    </row>
    <row r="28" spans="1:6" x14ac:dyDescent="0.3">
      <c r="A28" t="e">
        <f>_xlfn.CONCAT(#REF!,#REF!)</f>
        <v>#REF!</v>
      </c>
      <c r="B28" s="20" t="s">
        <v>183</v>
      </c>
      <c r="D28" s="21"/>
      <c r="E28" s="21"/>
      <c r="F28" s="21"/>
    </row>
    <row r="29" spans="1:6" x14ac:dyDescent="0.3">
      <c r="A29" t="e">
        <f>_xlfn.CONCAT(#REF!,#REF!)</f>
        <v>#REF!</v>
      </c>
      <c r="B29" s="20" t="s">
        <v>184</v>
      </c>
      <c r="D29" s="21"/>
      <c r="E29" s="21"/>
      <c r="F29" s="21"/>
    </row>
    <row r="30" spans="1:6" x14ac:dyDescent="0.3">
      <c r="A30" t="e">
        <f>_xlfn.CONCAT(#REF!,#REF!)</f>
        <v>#REF!</v>
      </c>
      <c r="B30" s="20" t="s">
        <v>185</v>
      </c>
      <c r="D30" s="21"/>
      <c r="E30" s="21"/>
      <c r="F30" s="21"/>
    </row>
    <row r="31" spans="1:6" x14ac:dyDescent="0.3">
      <c r="A31" t="e">
        <f>_xlfn.CONCAT(#REF!,#REF!)</f>
        <v>#REF!</v>
      </c>
      <c r="B31" s="20" t="s">
        <v>186</v>
      </c>
      <c r="D31" s="21"/>
      <c r="E31" s="21"/>
      <c r="F31" s="21"/>
    </row>
    <row r="32" spans="1:6" x14ac:dyDescent="0.3">
      <c r="A32" t="e">
        <f>_xlfn.CONCAT(#REF!,#REF!)</f>
        <v>#REF!</v>
      </c>
      <c r="B32" s="20" t="s">
        <v>187</v>
      </c>
      <c r="D32" s="21"/>
      <c r="E32" s="21"/>
      <c r="F32" s="21"/>
    </row>
    <row r="33" spans="1:6" x14ac:dyDescent="0.3">
      <c r="A33" t="e">
        <f>_xlfn.CONCAT(#REF!,#REF!)</f>
        <v>#REF!</v>
      </c>
      <c r="B33" s="20" t="s">
        <v>188</v>
      </c>
      <c r="D33" s="21"/>
      <c r="E33" s="21"/>
      <c r="F33" s="21"/>
    </row>
    <row r="34" spans="1:6" x14ac:dyDescent="0.3">
      <c r="A34" t="e">
        <f>_xlfn.CONCAT(#REF!,#REF!)</f>
        <v>#REF!</v>
      </c>
      <c r="B34" s="20" t="s">
        <v>189</v>
      </c>
      <c r="D34" s="21"/>
      <c r="E34" s="21"/>
      <c r="F34" s="21"/>
    </row>
    <row r="35" spans="1:6" x14ac:dyDescent="0.3">
      <c r="A35" t="e">
        <f>_xlfn.CONCAT(#REF!,#REF!)</f>
        <v>#REF!</v>
      </c>
      <c r="B35" s="20" t="s">
        <v>190</v>
      </c>
      <c r="D35" s="21"/>
      <c r="E35" s="21"/>
      <c r="F35" s="21"/>
    </row>
    <row r="36" spans="1:6" x14ac:dyDescent="0.3">
      <c r="A36" t="e">
        <f>_xlfn.CONCAT(#REF!,#REF!)</f>
        <v>#REF!</v>
      </c>
      <c r="B36" s="20" t="s">
        <v>191</v>
      </c>
      <c r="D36" s="21"/>
      <c r="E36" s="21"/>
      <c r="F36" s="21"/>
    </row>
    <row r="37" spans="1:6" x14ac:dyDescent="0.3">
      <c r="A37" t="e">
        <f>_xlfn.CONCAT(#REF!,#REF!)</f>
        <v>#REF!</v>
      </c>
      <c r="B37" s="20" t="s">
        <v>192</v>
      </c>
      <c r="D37" s="21"/>
      <c r="E37" s="21"/>
      <c r="F37" s="21"/>
    </row>
    <row r="38" spans="1:6" x14ac:dyDescent="0.3">
      <c r="A38" t="e">
        <f>_xlfn.CONCAT(#REF!,#REF!)</f>
        <v>#REF!</v>
      </c>
      <c r="B38" s="20" t="s">
        <v>193</v>
      </c>
      <c r="D38" s="21"/>
      <c r="E38" s="21"/>
      <c r="F38" s="21"/>
    </row>
    <row r="39" spans="1:6" x14ac:dyDescent="0.3">
      <c r="A39" t="e">
        <f>_xlfn.CONCAT(#REF!,#REF!)</f>
        <v>#REF!</v>
      </c>
      <c r="B39" s="20" t="s">
        <v>194</v>
      </c>
      <c r="D39" s="21"/>
      <c r="E39" s="21"/>
      <c r="F39" s="21"/>
    </row>
    <row r="40" spans="1:6" x14ac:dyDescent="0.3">
      <c r="A40" t="e">
        <f>_xlfn.CONCAT(#REF!,#REF!)</f>
        <v>#REF!</v>
      </c>
      <c r="B40" s="20" t="s">
        <v>195</v>
      </c>
      <c r="D40" s="21"/>
      <c r="E40" s="21"/>
      <c r="F40" s="21"/>
    </row>
    <row r="41" spans="1:6" x14ac:dyDescent="0.3">
      <c r="A41" t="e">
        <f>_xlfn.CONCAT(#REF!,#REF!)</f>
        <v>#REF!</v>
      </c>
      <c r="B41" s="20" t="s">
        <v>196</v>
      </c>
      <c r="D41" s="21"/>
      <c r="E41" s="21"/>
      <c r="F41" s="21"/>
    </row>
    <row r="42" spans="1:6" x14ac:dyDescent="0.3">
      <c r="A42" t="e">
        <f>_xlfn.CONCAT(#REF!,#REF!)</f>
        <v>#REF!</v>
      </c>
      <c r="B42" s="20" t="s">
        <v>197</v>
      </c>
      <c r="D42" s="21"/>
      <c r="E42" s="21"/>
      <c r="F42" s="21"/>
    </row>
    <row r="43" spans="1:6" x14ac:dyDescent="0.3">
      <c r="A43" t="e">
        <f>_xlfn.CONCAT(#REF!,#REF!)</f>
        <v>#REF!</v>
      </c>
      <c r="B43" s="20" t="s">
        <v>198</v>
      </c>
      <c r="D43" s="21"/>
      <c r="E43" s="21"/>
      <c r="F43" s="21"/>
    </row>
    <row r="44" spans="1:6" x14ac:dyDescent="0.3">
      <c r="A44" t="e">
        <f>_xlfn.CONCAT(#REF!,#REF!)</f>
        <v>#REF!</v>
      </c>
      <c r="B44" s="20" t="s">
        <v>199</v>
      </c>
      <c r="D44" s="21"/>
      <c r="E44" s="21"/>
      <c r="F44" s="21"/>
    </row>
    <row r="45" spans="1:6" x14ac:dyDescent="0.3">
      <c r="A45" t="e">
        <f>_xlfn.CONCAT(#REF!,#REF!)</f>
        <v>#REF!</v>
      </c>
      <c r="B45" s="20" t="s">
        <v>200</v>
      </c>
      <c r="D45" s="21"/>
      <c r="E45" s="21"/>
      <c r="F45" s="21"/>
    </row>
    <row r="46" spans="1:6" x14ac:dyDescent="0.3">
      <c r="A46" t="e">
        <f>_xlfn.CONCAT(#REF!,#REF!)</f>
        <v>#REF!</v>
      </c>
      <c r="B46" s="20" t="s">
        <v>201</v>
      </c>
      <c r="D46" s="21"/>
      <c r="E46" s="21"/>
      <c r="F46" s="21"/>
    </row>
    <row r="47" spans="1:6" x14ac:dyDescent="0.3">
      <c r="A47" t="e">
        <f>_xlfn.CONCAT(#REF!,#REF!)</f>
        <v>#REF!</v>
      </c>
      <c r="B47" s="20" t="s">
        <v>202</v>
      </c>
      <c r="D47" s="21"/>
      <c r="E47" s="21"/>
      <c r="F47" s="21"/>
    </row>
    <row r="48" spans="1:6" x14ac:dyDescent="0.3">
      <c r="A48" t="e">
        <f>_xlfn.CONCAT(#REF!,#REF!)</f>
        <v>#REF!</v>
      </c>
      <c r="B48" s="20" t="s">
        <v>203</v>
      </c>
      <c r="D48" s="21"/>
      <c r="E48" s="21"/>
      <c r="F48" s="21"/>
    </row>
    <row r="49" spans="1:6" x14ac:dyDescent="0.3">
      <c r="A49" t="e">
        <f>_xlfn.CONCAT(#REF!,#REF!)</f>
        <v>#REF!</v>
      </c>
      <c r="B49" s="20" t="s">
        <v>204</v>
      </c>
      <c r="D49" s="21"/>
      <c r="E49" s="21"/>
      <c r="F49" s="21"/>
    </row>
    <row r="50" spans="1:6" x14ac:dyDescent="0.3">
      <c r="A50" t="e">
        <f>_xlfn.CONCAT(#REF!,#REF!)</f>
        <v>#REF!</v>
      </c>
      <c r="B50" s="20" t="s">
        <v>205</v>
      </c>
      <c r="D50" s="21"/>
      <c r="E50" s="21"/>
      <c r="F50" s="21"/>
    </row>
    <row r="51" spans="1:6" x14ac:dyDescent="0.3">
      <c r="A51" t="e">
        <f>_xlfn.CONCAT(#REF!,#REF!)</f>
        <v>#REF!</v>
      </c>
      <c r="B51" s="20" t="s">
        <v>206</v>
      </c>
      <c r="D51" s="21"/>
      <c r="E51" s="21"/>
      <c r="F51" s="21"/>
    </row>
    <row r="52" spans="1:6" x14ac:dyDescent="0.3">
      <c r="A52" t="e">
        <f>_xlfn.CONCAT(#REF!,#REF!)</f>
        <v>#REF!</v>
      </c>
      <c r="B52" s="20" t="s">
        <v>207</v>
      </c>
      <c r="D52" s="21"/>
      <c r="E52" s="21"/>
      <c r="F52" s="21"/>
    </row>
    <row r="53" spans="1:6" x14ac:dyDescent="0.3">
      <c r="A53" t="e">
        <f>_xlfn.CONCAT(#REF!,#REF!)</f>
        <v>#REF!</v>
      </c>
      <c r="B53" s="20" t="s">
        <v>208</v>
      </c>
      <c r="D53" s="21"/>
      <c r="E53" s="21"/>
      <c r="F53" s="21"/>
    </row>
    <row r="54" spans="1:6" x14ac:dyDescent="0.3">
      <c r="A54" t="e">
        <f>_xlfn.CONCAT(#REF!,#REF!)</f>
        <v>#REF!</v>
      </c>
      <c r="B54" s="20" t="s">
        <v>209</v>
      </c>
      <c r="D54" s="21"/>
      <c r="E54" s="21"/>
      <c r="F54" s="21"/>
    </row>
    <row r="55" spans="1:6" x14ac:dyDescent="0.3">
      <c r="A55" t="e">
        <f>_xlfn.CONCAT(#REF!,#REF!)</f>
        <v>#REF!</v>
      </c>
      <c r="B55" s="20" t="s">
        <v>210</v>
      </c>
      <c r="D55" s="21"/>
      <c r="E55" s="21"/>
      <c r="F55" s="21"/>
    </row>
    <row r="56" spans="1:6" x14ac:dyDescent="0.3">
      <c r="A56" t="e">
        <f>_xlfn.CONCAT(#REF!,#REF!)</f>
        <v>#REF!</v>
      </c>
      <c r="B56" s="20" t="s">
        <v>211</v>
      </c>
      <c r="D56" s="21"/>
      <c r="E56" s="21"/>
      <c r="F56" s="21"/>
    </row>
    <row r="57" spans="1:6" x14ac:dyDescent="0.3">
      <c r="A57" t="e">
        <f>_xlfn.CONCAT(#REF!,#REF!)</f>
        <v>#REF!</v>
      </c>
      <c r="B57" s="20" t="s">
        <v>212</v>
      </c>
      <c r="D57" s="21"/>
      <c r="E57" s="21"/>
      <c r="F57" s="21"/>
    </row>
    <row r="58" spans="1:6" x14ac:dyDescent="0.3">
      <c r="A58" t="e">
        <f>_xlfn.CONCAT(#REF!,#REF!)</f>
        <v>#REF!</v>
      </c>
      <c r="B58" s="20" t="s">
        <v>213</v>
      </c>
      <c r="D58" s="21"/>
      <c r="E58" s="21"/>
      <c r="F58" s="21"/>
    </row>
    <row r="59" spans="1:6" x14ac:dyDescent="0.3">
      <c r="A59" t="e">
        <f>_xlfn.CONCAT(#REF!,#REF!)</f>
        <v>#REF!</v>
      </c>
      <c r="B59" s="20" t="s">
        <v>214</v>
      </c>
      <c r="D59" s="21"/>
      <c r="E59" s="21"/>
      <c r="F59" s="21"/>
    </row>
    <row r="60" spans="1:6" x14ac:dyDescent="0.3">
      <c r="A60" t="e">
        <f>_xlfn.CONCAT(#REF!,#REF!)</f>
        <v>#REF!</v>
      </c>
      <c r="B60" s="20" t="s">
        <v>215</v>
      </c>
      <c r="D60" s="21"/>
      <c r="E60" s="21"/>
      <c r="F60" s="21"/>
    </row>
    <row r="61" spans="1:6" x14ac:dyDescent="0.3">
      <c r="A61" t="e">
        <f>_xlfn.CONCAT(#REF!,#REF!)</f>
        <v>#REF!</v>
      </c>
      <c r="B61" s="20" t="s">
        <v>216</v>
      </c>
      <c r="D61" s="21"/>
      <c r="E61" s="21"/>
      <c r="F61" s="21"/>
    </row>
    <row r="62" spans="1:6" x14ac:dyDescent="0.3">
      <c r="A62" t="e">
        <f>_xlfn.CONCAT(#REF!,#REF!)</f>
        <v>#REF!</v>
      </c>
      <c r="B62" s="20" t="s">
        <v>217</v>
      </c>
      <c r="D62" s="21"/>
      <c r="E62" s="21"/>
      <c r="F62" s="21"/>
    </row>
    <row r="63" spans="1:6" x14ac:dyDescent="0.3">
      <c r="A63" t="e">
        <f>_xlfn.CONCAT(#REF!,#REF!)</f>
        <v>#REF!</v>
      </c>
      <c r="B63" s="20" t="s">
        <v>218</v>
      </c>
      <c r="D63" s="21"/>
      <c r="E63" s="21"/>
      <c r="F63" s="21"/>
    </row>
    <row r="64" spans="1:6" x14ac:dyDescent="0.3">
      <c r="A64" t="e">
        <f>_xlfn.CONCAT(#REF!,#REF!)</f>
        <v>#REF!</v>
      </c>
      <c r="B64" s="20" t="s">
        <v>219</v>
      </c>
      <c r="D64" s="21"/>
      <c r="E64" s="21"/>
      <c r="F64" s="21"/>
    </row>
    <row r="65" spans="1:6" x14ac:dyDescent="0.3">
      <c r="A65" t="e">
        <f>_xlfn.CONCAT(#REF!,#REF!)</f>
        <v>#REF!</v>
      </c>
      <c r="B65" s="20" t="s">
        <v>220</v>
      </c>
      <c r="D65" s="21"/>
      <c r="E65" s="21"/>
      <c r="F65" s="21"/>
    </row>
    <row r="66" spans="1:6" x14ac:dyDescent="0.3">
      <c r="A66" t="e">
        <f>_xlfn.CONCAT(#REF!,#REF!)</f>
        <v>#REF!</v>
      </c>
      <c r="B66" s="20" t="s">
        <v>221</v>
      </c>
      <c r="D66" s="21"/>
      <c r="E66" s="21"/>
      <c r="F66" s="21"/>
    </row>
    <row r="67" spans="1:6" x14ac:dyDescent="0.3">
      <c r="A67" t="e">
        <f>_xlfn.CONCAT(#REF!,#REF!)</f>
        <v>#REF!</v>
      </c>
      <c r="B67" s="20" t="s">
        <v>222</v>
      </c>
      <c r="D67" s="21"/>
      <c r="E67" s="21"/>
      <c r="F67" s="21"/>
    </row>
    <row r="68" spans="1:6" x14ac:dyDescent="0.3">
      <c r="A68" t="e">
        <f>_xlfn.CONCAT(#REF!,#REF!)</f>
        <v>#REF!</v>
      </c>
      <c r="B68" s="20" t="s">
        <v>223</v>
      </c>
      <c r="D68" s="21"/>
      <c r="E68" s="21"/>
      <c r="F68" s="21"/>
    </row>
    <row r="69" spans="1:6" x14ac:dyDescent="0.3">
      <c r="A69" t="e">
        <f>_xlfn.CONCAT(#REF!,#REF!)</f>
        <v>#REF!</v>
      </c>
      <c r="B69" s="20" t="s">
        <v>224</v>
      </c>
      <c r="D69" s="21"/>
      <c r="E69" s="21"/>
      <c r="F69" s="21"/>
    </row>
    <row r="70" spans="1:6" x14ac:dyDescent="0.3">
      <c r="A70" t="e">
        <f>_xlfn.CONCAT(#REF!,#REF!)</f>
        <v>#REF!</v>
      </c>
      <c r="B70" s="20" t="s">
        <v>225</v>
      </c>
      <c r="D70" s="21"/>
      <c r="E70" s="21"/>
      <c r="F70" s="21"/>
    </row>
    <row r="71" spans="1:6" x14ac:dyDescent="0.3">
      <c r="A71" t="e">
        <f>_xlfn.CONCAT(#REF!,#REF!)</f>
        <v>#REF!</v>
      </c>
      <c r="B71" s="20" t="s">
        <v>226</v>
      </c>
      <c r="D71" s="21"/>
      <c r="E71" s="21"/>
      <c r="F71" s="21"/>
    </row>
    <row r="72" spans="1:6" x14ac:dyDescent="0.3">
      <c r="A72" t="e">
        <f>_xlfn.CONCAT(#REF!,#REF!)</f>
        <v>#REF!</v>
      </c>
      <c r="B72" s="20" t="s">
        <v>227</v>
      </c>
      <c r="D72" s="21"/>
      <c r="E72" s="21"/>
      <c r="F72" s="21"/>
    </row>
    <row r="73" spans="1:6" x14ac:dyDescent="0.3">
      <c r="A73" t="e">
        <f>_xlfn.CONCAT(#REF!,#REF!)</f>
        <v>#REF!</v>
      </c>
      <c r="B73" s="20" t="s">
        <v>228</v>
      </c>
      <c r="D73" s="21"/>
      <c r="E73" s="21"/>
      <c r="F73" s="21"/>
    </row>
    <row r="74" spans="1:6" x14ac:dyDescent="0.3">
      <c r="A74" t="e">
        <f>_xlfn.CONCAT(#REF!,#REF!)</f>
        <v>#REF!</v>
      </c>
      <c r="B74" s="20" t="s">
        <v>229</v>
      </c>
      <c r="D74" s="21"/>
      <c r="E74" s="21"/>
      <c r="F74" s="21"/>
    </row>
    <row r="75" spans="1:6" x14ac:dyDescent="0.3">
      <c r="A75" t="e">
        <f>_xlfn.CONCAT(#REF!,#REF!)</f>
        <v>#REF!</v>
      </c>
      <c r="B75" s="20" t="s">
        <v>230</v>
      </c>
      <c r="D75" s="21"/>
      <c r="E75" s="21"/>
      <c r="F75" s="21"/>
    </row>
    <row r="76" spans="1:6" x14ac:dyDescent="0.3">
      <c r="A76" t="e">
        <f>_xlfn.CONCAT(#REF!,#REF!)</f>
        <v>#REF!</v>
      </c>
      <c r="B76" s="20" t="s">
        <v>231</v>
      </c>
      <c r="D76" s="21"/>
      <c r="E76" s="21"/>
      <c r="F76" s="21"/>
    </row>
    <row r="77" spans="1:6" x14ac:dyDescent="0.3">
      <c r="A77" t="e">
        <f>_xlfn.CONCAT(#REF!,#REF!)</f>
        <v>#REF!</v>
      </c>
      <c r="B77" s="20" t="s">
        <v>232</v>
      </c>
      <c r="D77" s="21"/>
      <c r="E77" s="21"/>
      <c r="F77" s="21"/>
    </row>
    <row r="78" spans="1:6" x14ac:dyDescent="0.3">
      <c r="A78" t="e">
        <f>_xlfn.CONCAT(#REF!,#REF!)</f>
        <v>#REF!</v>
      </c>
      <c r="B78" s="20" t="s">
        <v>233</v>
      </c>
      <c r="D78" s="21"/>
      <c r="E78" s="21"/>
      <c r="F78" s="21"/>
    </row>
    <row r="79" spans="1:6" x14ac:dyDescent="0.3">
      <c r="A79" t="e">
        <f>_xlfn.CONCAT(#REF!,#REF!)</f>
        <v>#REF!</v>
      </c>
      <c r="B79" s="20" t="s">
        <v>234</v>
      </c>
      <c r="D79" s="21"/>
      <c r="E79" s="21"/>
      <c r="F79" s="21"/>
    </row>
    <row r="80" spans="1:6" x14ac:dyDescent="0.3">
      <c r="A80" t="e">
        <f>_xlfn.CONCAT(#REF!,#REF!)</f>
        <v>#REF!</v>
      </c>
      <c r="B80" s="20" t="s">
        <v>235</v>
      </c>
      <c r="D80" s="21"/>
      <c r="E80" s="21"/>
      <c r="F80" s="21"/>
    </row>
    <row r="81" spans="1:6" x14ac:dyDescent="0.3">
      <c r="A81" t="e">
        <f>_xlfn.CONCAT(#REF!,#REF!)</f>
        <v>#REF!</v>
      </c>
      <c r="B81" s="20" t="s">
        <v>236</v>
      </c>
      <c r="D81" s="21"/>
      <c r="E81" s="21"/>
      <c r="F81" s="21"/>
    </row>
    <row r="82" spans="1:6" x14ac:dyDescent="0.3">
      <c r="A82" t="e">
        <f>_xlfn.CONCAT(#REF!,#REF!)</f>
        <v>#REF!</v>
      </c>
      <c r="B82" s="20" t="s">
        <v>237</v>
      </c>
      <c r="D82" s="21"/>
      <c r="E82" s="21"/>
      <c r="F82" s="21"/>
    </row>
    <row r="83" spans="1:6" x14ac:dyDescent="0.3">
      <c r="A83" t="e">
        <f>_xlfn.CONCAT(#REF!,#REF!)</f>
        <v>#REF!</v>
      </c>
      <c r="B83" s="20" t="s">
        <v>238</v>
      </c>
      <c r="D83" s="21"/>
      <c r="E83" s="21"/>
      <c r="F83" s="21"/>
    </row>
    <row r="84" spans="1:6" x14ac:dyDescent="0.3">
      <c r="A84" t="e">
        <f>_xlfn.CONCAT(#REF!,#REF!)</f>
        <v>#REF!</v>
      </c>
      <c r="B84" s="20" t="s">
        <v>239</v>
      </c>
      <c r="D84" s="21"/>
      <c r="E84" s="21"/>
      <c r="F84" s="21"/>
    </row>
    <row r="85" spans="1:6" x14ac:dyDescent="0.3">
      <c r="A85" t="e">
        <f>_xlfn.CONCAT(#REF!,#REF!)</f>
        <v>#REF!</v>
      </c>
      <c r="B85" s="20" t="s">
        <v>240</v>
      </c>
      <c r="D85" s="21"/>
      <c r="E85" s="21"/>
      <c r="F85" s="21"/>
    </row>
    <row r="86" spans="1:6" x14ac:dyDescent="0.3">
      <c r="A86" t="e">
        <f>_xlfn.CONCAT(#REF!,#REF!)</f>
        <v>#REF!</v>
      </c>
      <c r="B86" s="20" t="s">
        <v>241</v>
      </c>
      <c r="D86" s="21"/>
      <c r="E86" s="21"/>
      <c r="F86" s="21"/>
    </row>
    <row r="87" spans="1:6" x14ac:dyDescent="0.3">
      <c r="A87" t="e">
        <f>_xlfn.CONCAT(#REF!,#REF!)</f>
        <v>#REF!</v>
      </c>
      <c r="B87" s="20" t="s">
        <v>242</v>
      </c>
      <c r="D87" s="21"/>
      <c r="E87" s="21"/>
      <c r="F87" s="21"/>
    </row>
    <row r="88" spans="1:6" x14ac:dyDescent="0.3">
      <c r="A88" t="e">
        <f>_xlfn.CONCAT(#REF!,#REF!)</f>
        <v>#REF!</v>
      </c>
      <c r="B88" s="20" t="s">
        <v>243</v>
      </c>
      <c r="D88" s="21"/>
      <c r="E88" s="21"/>
      <c r="F88" s="21"/>
    </row>
    <row r="89" spans="1:6" x14ac:dyDescent="0.3">
      <c r="A89" t="e">
        <f>_xlfn.CONCAT(#REF!,#REF!)</f>
        <v>#REF!</v>
      </c>
      <c r="B89" s="20" t="s">
        <v>244</v>
      </c>
      <c r="D89" s="21"/>
      <c r="E89" s="21"/>
      <c r="F89" s="21"/>
    </row>
    <row r="90" spans="1:6" x14ac:dyDescent="0.3">
      <c r="A90" t="e">
        <f>_xlfn.CONCAT(#REF!,#REF!)</f>
        <v>#REF!</v>
      </c>
      <c r="B90" s="20" t="s">
        <v>245</v>
      </c>
      <c r="D90" s="21"/>
      <c r="E90" s="21"/>
      <c r="F90" s="21"/>
    </row>
    <row r="91" spans="1:6" x14ac:dyDescent="0.3">
      <c r="A91" t="e">
        <f>_xlfn.CONCAT(#REF!,#REF!)</f>
        <v>#REF!</v>
      </c>
      <c r="B91" s="20" t="s">
        <v>246</v>
      </c>
      <c r="D91" s="21"/>
      <c r="E91" s="21"/>
      <c r="F91" s="21"/>
    </row>
    <row r="92" spans="1:6" x14ac:dyDescent="0.3">
      <c r="A92" t="e">
        <f>_xlfn.CONCAT(#REF!,#REF!)</f>
        <v>#REF!</v>
      </c>
      <c r="B92" s="20" t="s">
        <v>247</v>
      </c>
      <c r="D92" s="21"/>
      <c r="E92" s="21"/>
      <c r="F92" s="21"/>
    </row>
    <row r="93" spans="1:6" x14ac:dyDescent="0.3">
      <c r="A93" t="e">
        <f>_xlfn.CONCAT(#REF!,#REF!)</f>
        <v>#REF!</v>
      </c>
      <c r="B93" s="20" t="s">
        <v>248</v>
      </c>
      <c r="D93" s="21"/>
      <c r="E93" s="21"/>
      <c r="F93" s="21"/>
    </row>
    <row r="94" spans="1:6" x14ac:dyDescent="0.3">
      <c r="A94" t="e">
        <f>_xlfn.CONCAT(#REF!,#REF!)</f>
        <v>#REF!</v>
      </c>
      <c r="B94" s="20" t="s">
        <v>249</v>
      </c>
      <c r="D94" s="21"/>
      <c r="E94" s="21"/>
      <c r="F94" s="21"/>
    </row>
    <row r="95" spans="1:6" x14ac:dyDescent="0.3">
      <c r="A95" t="e">
        <f>_xlfn.CONCAT(#REF!,#REF!)</f>
        <v>#REF!</v>
      </c>
      <c r="B95" s="20" t="s">
        <v>250</v>
      </c>
      <c r="D95" s="21"/>
      <c r="E95" s="21"/>
      <c r="F95" s="21"/>
    </row>
    <row r="96" spans="1:6" x14ac:dyDescent="0.3">
      <c r="A96" t="e">
        <f>_xlfn.CONCAT(#REF!,#REF!)</f>
        <v>#REF!</v>
      </c>
      <c r="B96" s="20" t="s">
        <v>251</v>
      </c>
      <c r="D96" s="21"/>
      <c r="E96" s="21"/>
      <c r="F96" s="21"/>
    </row>
    <row r="97" spans="1:6" x14ac:dyDescent="0.3">
      <c r="A97" t="e">
        <f>_xlfn.CONCAT(#REF!,#REF!)</f>
        <v>#REF!</v>
      </c>
      <c r="B97" s="20" t="s">
        <v>252</v>
      </c>
      <c r="D97" s="21"/>
      <c r="E97" s="21"/>
      <c r="F97" s="21"/>
    </row>
    <row r="98" spans="1:6" x14ac:dyDescent="0.3">
      <c r="A98" t="e">
        <f>_xlfn.CONCAT(#REF!,#REF!)</f>
        <v>#REF!</v>
      </c>
      <c r="B98" s="20" t="s">
        <v>253</v>
      </c>
      <c r="D98" s="21"/>
      <c r="E98" s="21"/>
      <c r="F98" s="21"/>
    </row>
    <row r="99" spans="1:6" x14ac:dyDescent="0.3">
      <c r="A99" t="e">
        <f>_xlfn.CONCAT(#REF!,#REF!)</f>
        <v>#REF!</v>
      </c>
      <c r="B99" s="20" t="s">
        <v>254</v>
      </c>
      <c r="D99" s="21"/>
      <c r="E99" s="21"/>
      <c r="F99" s="21"/>
    </row>
    <row r="100" spans="1:6" x14ac:dyDescent="0.3">
      <c r="A100" t="e">
        <f>_xlfn.CONCAT(#REF!,#REF!)</f>
        <v>#REF!</v>
      </c>
      <c r="B100" s="20" t="s">
        <v>255</v>
      </c>
      <c r="D100" s="21"/>
      <c r="E100" s="21"/>
      <c r="F100" s="21"/>
    </row>
    <row r="101" spans="1:6" x14ac:dyDescent="0.3">
      <c r="A101" t="e">
        <f>_xlfn.CONCAT(#REF!,#REF!)</f>
        <v>#REF!</v>
      </c>
      <c r="B101" s="20" t="s">
        <v>256</v>
      </c>
      <c r="D101" s="21"/>
      <c r="E101" s="21"/>
      <c r="F101" s="21"/>
    </row>
    <row r="102" spans="1:6" x14ac:dyDescent="0.3">
      <c r="A102" t="e">
        <f>_xlfn.CONCAT(#REF!,#REF!)</f>
        <v>#REF!</v>
      </c>
      <c r="B102" s="20" t="s">
        <v>257</v>
      </c>
      <c r="D102" s="21"/>
      <c r="E102" s="21"/>
      <c r="F102" s="21"/>
    </row>
    <row r="103" spans="1:6" x14ac:dyDescent="0.3">
      <c r="A103" t="e">
        <f>_xlfn.CONCAT(#REF!,#REF!)</f>
        <v>#REF!</v>
      </c>
      <c r="B103" s="20" t="s">
        <v>258</v>
      </c>
      <c r="D103" s="21"/>
      <c r="E103" s="21"/>
      <c r="F103" s="21"/>
    </row>
    <row r="104" spans="1:6" x14ac:dyDescent="0.3">
      <c r="A104" t="e">
        <f>_xlfn.CONCAT(#REF!,#REF!)</f>
        <v>#REF!</v>
      </c>
      <c r="B104" s="20" t="s">
        <v>259</v>
      </c>
      <c r="D104" s="21"/>
      <c r="E104" s="21"/>
      <c r="F104" s="21"/>
    </row>
  </sheetData>
  <autoFilter ref="B4:F104" xr:uid="{00000000-0009-0000-0000-000003000000}"/>
  <mergeCells count="4">
    <mergeCell ref="D2:E2"/>
    <mergeCell ref="B2:C2"/>
    <mergeCell ref="B1:C1"/>
    <mergeCell ref="D1:E1"/>
  </mergeCells>
  <pageMargins left="0.43307086614173229" right="0.70866141732283472" top="1.299212598425197" bottom="0.74803149606299213" header="0.31496062992125984" footer="0.31496062992125984"/>
  <pageSetup paperSize="9" fitToHeight="0" orientation="landscape" r:id="rId1"/>
  <headerFooter>
    <oddHeader>&amp;L&amp;"-,Gras"&amp;14Fiche interservices d'achat
Partie Service Technique - Exigences
&amp;R&amp;G</oddHeader>
    <oddFooter>&amp;LPartie demandeur, page &amp;P/&amp;N&amp;RV1.0 // 2022 06 08</oddFooter>
  </headerFooter>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05866995-0332-41DB-AF9A-9D90FD2DD268}">
          <x14:formula1>
            <xm:f>Data!$G$1:$G$2</xm:f>
          </x14:formula1>
          <xm:sqref>D5:D1048576</xm:sqref>
        </x14:dataValidation>
        <x14:dataValidation type="list" allowBlank="1" showInputMessage="1" showErrorMessage="1" xr:uid="{7FC7B3C3-851F-480E-B1BE-6ADB05508CBE}">
          <x14:formula1>
            <xm:f>'Data 2'!$B$3:$B$10</xm:f>
          </x14:formula1>
          <xm:sqref>C5:C1048576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D11"/>
  <sheetViews>
    <sheetView showZeros="0" view="pageLayout" zoomScaleNormal="100" workbookViewId="0">
      <selection activeCell="C1" sqref="C1"/>
    </sheetView>
  </sheetViews>
  <sheetFormatPr baseColWidth="10" defaultColWidth="11.44140625" defaultRowHeight="14.4" x14ac:dyDescent="0.3"/>
  <cols>
    <col min="1" max="1" width="42" style="4" customWidth="1"/>
    <col min="2" max="2" width="10.109375" style="4" customWidth="1"/>
    <col min="3" max="3" width="10.109375" style="3" customWidth="1"/>
    <col min="4" max="4" width="42" customWidth="1"/>
  </cols>
  <sheetData>
    <row r="1" spans="1:4" s="2" customFormat="1" x14ac:dyDescent="0.3">
      <c r="A1" s="100" t="s">
        <v>0</v>
      </c>
      <c r="B1" s="103"/>
      <c r="C1" s="103"/>
      <c r="D1" s="38">
        <f>'1 Lancement utilisateur '!B13</f>
        <v>0</v>
      </c>
    </row>
    <row r="2" spans="1:4" s="2" customFormat="1" ht="15" thickBot="1" x14ac:dyDescent="0.35">
      <c r="A2" s="98" t="s">
        <v>391</v>
      </c>
      <c r="B2" s="99"/>
      <c r="C2" s="99"/>
      <c r="D2" s="30">
        <f>'1 Lancement utilisateur '!B10</f>
        <v>0</v>
      </c>
    </row>
    <row r="3" spans="1:4" ht="6" customHeight="1" x14ac:dyDescent="0.3"/>
    <row r="4" spans="1:4" ht="47.25" customHeight="1" x14ac:dyDescent="0.3">
      <c r="A4" s="33" t="s">
        <v>369</v>
      </c>
      <c r="B4" s="33" t="s">
        <v>370</v>
      </c>
      <c r="C4" s="33" t="s">
        <v>371</v>
      </c>
      <c r="D4" s="19" t="s">
        <v>155</v>
      </c>
    </row>
    <row r="5" spans="1:4" ht="28.8" x14ac:dyDescent="0.3">
      <c r="A5" s="23" t="s">
        <v>378</v>
      </c>
      <c r="B5" s="24"/>
      <c r="C5" s="24"/>
      <c r="D5" s="25"/>
    </row>
    <row r="6" spans="1:4" x14ac:dyDescent="0.3">
      <c r="A6" s="26" t="s">
        <v>379</v>
      </c>
      <c r="B6" s="27"/>
      <c r="C6" s="27"/>
      <c r="D6" s="27"/>
    </row>
    <row r="7" spans="1:4" x14ac:dyDescent="0.3">
      <c r="A7" s="26" t="s">
        <v>380</v>
      </c>
      <c r="B7" s="27"/>
      <c r="C7" s="27"/>
      <c r="D7" s="27"/>
    </row>
    <row r="8" spans="1:4" x14ac:dyDescent="0.3">
      <c r="A8" s="26" t="s">
        <v>381</v>
      </c>
      <c r="B8" s="27"/>
      <c r="C8" s="27"/>
      <c r="D8" s="27"/>
    </row>
    <row r="9" spans="1:4" x14ac:dyDescent="0.3">
      <c r="A9" s="26" t="s">
        <v>382</v>
      </c>
      <c r="B9" s="27"/>
      <c r="C9" s="27"/>
      <c r="D9" s="27"/>
    </row>
    <row r="10" spans="1:4" x14ac:dyDescent="0.3">
      <c r="A10" s="26" t="s">
        <v>383</v>
      </c>
      <c r="B10" s="27"/>
      <c r="C10" s="27"/>
      <c r="D10" s="27"/>
    </row>
    <row r="11" spans="1:4" x14ac:dyDescent="0.3">
      <c r="A11" s="28" t="s">
        <v>384</v>
      </c>
      <c r="B11" s="29"/>
      <c r="C11" s="29"/>
      <c r="D11" s="29"/>
    </row>
  </sheetData>
  <autoFilter ref="A4:D11" xr:uid="{00000000-0009-0000-0000-000004000000}"/>
  <mergeCells count="2">
    <mergeCell ref="A1:C1"/>
    <mergeCell ref="A2:C2"/>
  </mergeCells>
  <pageMargins left="0.43307086614173229" right="0.70866141732283472" top="1.299212598425197" bottom="0.74803149606299213" header="0.31496062992125984" footer="0.31496062992125984"/>
  <pageSetup paperSize="9" scale="87" fitToHeight="0" orientation="portrait" r:id="rId1"/>
  <headerFooter>
    <oddHeader>&amp;L&amp;"-,Gras"&amp;14Fiche interservices d'achat
Partie IT - Annexes informatiques
Partie 2/3&amp;R&amp;G</oddHeader>
    <oddFooter>&amp;LPartie demandeur, page &amp;P/&amp;N&amp;RV1.0 // 2022 06 08</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Data!$T$1:$T$2</xm:f>
          </x14:formula1>
          <xm:sqref>B5:C11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F104"/>
  <sheetViews>
    <sheetView showZeros="0" view="pageLayout" topLeftCell="B1" zoomScaleNormal="100" workbookViewId="0">
      <selection activeCell="C1" sqref="C1"/>
    </sheetView>
  </sheetViews>
  <sheetFormatPr baseColWidth="10" defaultColWidth="11.44140625" defaultRowHeight="14.4" x14ac:dyDescent="0.3"/>
  <cols>
    <col min="1" max="1" width="0" hidden="1" customWidth="1"/>
    <col min="2" max="2" width="10.44140625" style="4" customWidth="1"/>
    <col min="3" max="3" width="15.6640625" style="21" customWidth="1"/>
    <col min="4" max="4" width="11.88671875" customWidth="1"/>
    <col min="5" max="6" width="42.109375" customWidth="1"/>
  </cols>
  <sheetData>
    <row r="1" spans="1:6" s="2" customFormat="1" x14ac:dyDescent="0.3">
      <c r="B1" s="100" t="s">
        <v>0</v>
      </c>
      <c r="C1" s="103"/>
      <c r="D1" s="105">
        <f>'1 Lancement utilisateur '!B13</f>
        <v>0</v>
      </c>
      <c r="E1" s="105"/>
      <c r="F1" s="31"/>
    </row>
    <row r="2" spans="1:6" s="2" customFormat="1" ht="15" thickBot="1" x14ac:dyDescent="0.35">
      <c r="B2" s="98" t="s">
        <v>391</v>
      </c>
      <c r="C2" s="99"/>
      <c r="D2" s="104">
        <f>'1 Lancement utilisateur '!B10</f>
        <v>0</v>
      </c>
      <c r="E2" s="104"/>
      <c r="F2" s="32"/>
    </row>
    <row r="3" spans="1:6" ht="6" customHeight="1" x14ac:dyDescent="0.3">
      <c r="C3"/>
    </row>
    <row r="4" spans="1:6" ht="47.25" customHeight="1" x14ac:dyDescent="0.3">
      <c r="A4" t="s">
        <v>372</v>
      </c>
      <c r="B4" s="18" t="s">
        <v>156</v>
      </c>
      <c r="C4" s="18" t="s">
        <v>154</v>
      </c>
      <c r="D4" s="18" t="s">
        <v>152</v>
      </c>
      <c r="E4" s="18" t="s">
        <v>153</v>
      </c>
      <c r="F4" s="19" t="s">
        <v>155</v>
      </c>
    </row>
    <row r="5" spans="1:6" x14ac:dyDescent="0.3">
      <c r="A5" t="e">
        <f>_xlfn.CONCAT(#REF!,#REF!)</f>
        <v>#REF!</v>
      </c>
      <c r="B5" s="20" t="s">
        <v>260</v>
      </c>
      <c r="D5" s="21"/>
      <c r="E5" s="21"/>
      <c r="F5" s="21"/>
    </row>
    <row r="6" spans="1:6" x14ac:dyDescent="0.3">
      <c r="A6" t="e">
        <f>_xlfn.CONCAT(#REF!,#REF!)</f>
        <v>#REF!</v>
      </c>
      <c r="B6" s="20" t="s">
        <v>261</v>
      </c>
      <c r="D6" s="21"/>
      <c r="E6" s="21"/>
      <c r="F6" s="21"/>
    </row>
    <row r="7" spans="1:6" x14ac:dyDescent="0.3">
      <c r="A7" t="e">
        <f>_xlfn.CONCAT(#REF!,#REF!)</f>
        <v>#REF!</v>
      </c>
      <c r="B7" s="20" t="s">
        <v>262</v>
      </c>
      <c r="D7" s="21"/>
      <c r="E7" s="21"/>
      <c r="F7" s="21"/>
    </row>
    <row r="8" spans="1:6" x14ac:dyDescent="0.3">
      <c r="A8" t="e">
        <f>_xlfn.CONCAT(#REF!,#REF!)</f>
        <v>#REF!</v>
      </c>
      <c r="B8" s="20" t="s">
        <v>263</v>
      </c>
      <c r="D8" s="21"/>
      <c r="E8" s="21"/>
      <c r="F8" s="21"/>
    </row>
    <row r="9" spans="1:6" x14ac:dyDescent="0.3">
      <c r="A9" t="e">
        <f>_xlfn.CONCAT(#REF!,#REF!)</f>
        <v>#REF!</v>
      </c>
      <c r="B9" s="20" t="s">
        <v>264</v>
      </c>
      <c r="D9" s="21"/>
      <c r="E9" s="21"/>
      <c r="F9" s="21"/>
    </row>
    <row r="10" spans="1:6" x14ac:dyDescent="0.3">
      <c r="A10" t="e">
        <f>_xlfn.CONCAT(#REF!,#REF!)</f>
        <v>#REF!</v>
      </c>
      <c r="B10" s="20" t="s">
        <v>265</v>
      </c>
      <c r="D10" s="21"/>
      <c r="E10" s="21"/>
      <c r="F10" s="21"/>
    </row>
    <row r="11" spans="1:6" x14ac:dyDescent="0.3">
      <c r="A11" t="e">
        <f>_xlfn.CONCAT(#REF!,#REF!)</f>
        <v>#REF!</v>
      </c>
      <c r="B11" s="20" t="s">
        <v>266</v>
      </c>
      <c r="D11" s="21"/>
      <c r="E11" s="21"/>
      <c r="F11" s="21"/>
    </row>
    <row r="12" spans="1:6" x14ac:dyDescent="0.3">
      <c r="A12" t="e">
        <f>_xlfn.CONCAT(#REF!,#REF!)</f>
        <v>#REF!</v>
      </c>
      <c r="B12" s="20" t="s">
        <v>267</v>
      </c>
      <c r="D12" s="21"/>
      <c r="E12" s="21"/>
      <c r="F12" s="21"/>
    </row>
    <row r="13" spans="1:6" x14ac:dyDescent="0.3">
      <c r="A13" t="e">
        <f>_xlfn.CONCAT(#REF!,#REF!)</f>
        <v>#REF!</v>
      </c>
      <c r="B13" s="20" t="s">
        <v>268</v>
      </c>
      <c r="D13" s="21"/>
      <c r="E13" s="21"/>
      <c r="F13" s="21"/>
    </row>
    <row r="14" spans="1:6" x14ac:dyDescent="0.3">
      <c r="A14" t="e">
        <f>_xlfn.CONCAT(#REF!,#REF!)</f>
        <v>#REF!</v>
      </c>
      <c r="B14" s="20" t="s">
        <v>269</v>
      </c>
      <c r="D14" s="21"/>
      <c r="E14" s="21"/>
      <c r="F14" s="21"/>
    </row>
    <row r="15" spans="1:6" x14ac:dyDescent="0.3">
      <c r="A15" t="e">
        <f>_xlfn.CONCAT(#REF!,#REF!)</f>
        <v>#REF!</v>
      </c>
      <c r="B15" s="20" t="s">
        <v>270</v>
      </c>
      <c r="D15" s="21"/>
      <c r="E15" s="21"/>
      <c r="F15" s="21"/>
    </row>
    <row r="16" spans="1:6" x14ac:dyDescent="0.3">
      <c r="A16" t="e">
        <f>_xlfn.CONCAT(#REF!,#REF!)</f>
        <v>#REF!</v>
      </c>
      <c r="B16" s="20" t="s">
        <v>271</v>
      </c>
      <c r="D16" s="21"/>
      <c r="E16" s="21"/>
      <c r="F16" s="21"/>
    </row>
    <row r="17" spans="1:6" x14ac:dyDescent="0.3">
      <c r="A17" t="e">
        <f>_xlfn.CONCAT(#REF!,#REF!)</f>
        <v>#REF!</v>
      </c>
      <c r="B17" s="20" t="s">
        <v>272</v>
      </c>
      <c r="D17" s="21"/>
      <c r="E17" s="21"/>
      <c r="F17" s="21"/>
    </row>
    <row r="18" spans="1:6" x14ac:dyDescent="0.3">
      <c r="A18" t="e">
        <f>_xlfn.CONCAT(#REF!,#REF!)</f>
        <v>#REF!</v>
      </c>
      <c r="B18" s="20" t="s">
        <v>273</v>
      </c>
      <c r="D18" s="21"/>
      <c r="E18" s="21"/>
      <c r="F18" s="21"/>
    </row>
    <row r="19" spans="1:6" x14ac:dyDescent="0.3">
      <c r="A19" t="e">
        <f>_xlfn.CONCAT(#REF!,#REF!)</f>
        <v>#REF!</v>
      </c>
      <c r="B19" s="20" t="s">
        <v>274</v>
      </c>
      <c r="D19" s="21"/>
      <c r="E19" s="21"/>
      <c r="F19" s="21"/>
    </row>
    <row r="20" spans="1:6" x14ac:dyDescent="0.3">
      <c r="A20" t="e">
        <f>_xlfn.CONCAT(#REF!,#REF!)</f>
        <v>#REF!</v>
      </c>
      <c r="B20" s="20" t="s">
        <v>275</v>
      </c>
      <c r="D20" s="21"/>
      <c r="E20" s="21"/>
      <c r="F20" s="21"/>
    </row>
    <row r="21" spans="1:6" x14ac:dyDescent="0.3">
      <c r="A21" t="e">
        <f>_xlfn.CONCAT(#REF!,#REF!)</f>
        <v>#REF!</v>
      </c>
      <c r="B21" s="20" t="s">
        <v>276</v>
      </c>
      <c r="D21" s="21"/>
      <c r="E21" s="21"/>
      <c r="F21" s="21"/>
    </row>
    <row r="22" spans="1:6" x14ac:dyDescent="0.3">
      <c r="A22" t="e">
        <f>_xlfn.CONCAT(#REF!,#REF!)</f>
        <v>#REF!</v>
      </c>
      <c r="B22" s="20" t="s">
        <v>277</v>
      </c>
      <c r="D22" s="21"/>
      <c r="E22" s="21"/>
      <c r="F22" s="21"/>
    </row>
    <row r="23" spans="1:6" x14ac:dyDescent="0.3">
      <c r="A23" t="e">
        <f>_xlfn.CONCAT(#REF!,#REF!)</f>
        <v>#REF!</v>
      </c>
      <c r="B23" s="20" t="s">
        <v>278</v>
      </c>
      <c r="D23" s="21"/>
      <c r="E23" s="21"/>
      <c r="F23" s="21"/>
    </row>
    <row r="24" spans="1:6" x14ac:dyDescent="0.3">
      <c r="A24" t="e">
        <f>_xlfn.CONCAT(#REF!,#REF!)</f>
        <v>#REF!</v>
      </c>
      <c r="B24" s="20" t="s">
        <v>279</v>
      </c>
      <c r="D24" s="21"/>
      <c r="E24" s="21"/>
      <c r="F24" s="21"/>
    </row>
    <row r="25" spans="1:6" x14ac:dyDescent="0.3">
      <c r="A25" t="e">
        <f>_xlfn.CONCAT(#REF!,#REF!)</f>
        <v>#REF!</v>
      </c>
      <c r="B25" s="20" t="s">
        <v>280</v>
      </c>
      <c r="D25" s="21"/>
      <c r="E25" s="21"/>
      <c r="F25" s="21"/>
    </row>
    <row r="26" spans="1:6" x14ac:dyDescent="0.3">
      <c r="A26" t="e">
        <f>_xlfn.CONCAT(#REF!,#REF!)</f>
        <v>#REF!</v>
      </c>
      <c r="B26" s="20" t="s">
        <v>281</v>
      </c>
      <c r="D26" s="21"/>
      <c r="E26" s="21"/>
      <c r="F26" s="21"/>
    </row>
    <row r="27" spans="1:6" x14ac:dyDescent="0.3">
      <c r="A27" t="e">
        <f>_xlfn.CONCAT(#REF!,#REF!)</f>
        <v>#REF!</v>
      </c>
      <c r="B27" s="20" t="s">
        <v>282</v>
      </c>
      <c r="D27" s="21"/>
      <c r="E27" s="21"/>
      <c r="F27" s="21"/>
    </row>
    <row r="28" spans="1:6" x14ac:dyDescent="0.3">
      <c r="A28" t="e">
        <f>_xlfn.CONCAT(#REF!,#REF!)</f>
        <v>#REF!</v>
      </c>
      <c r="B28" s="20" t="s">
        <v>283</v>
      </c>
      <c r="D28" s="21"/>
      <c r="E28" s="21"/>
      <c r="F28" s="21"/>
    </row>
    <row r="29" spans="1:6" x14ac:dyDescent="0.3">
      <c r="A29" t="e">
        <f>_xlfn.CONCAT(#REF!,#REF!)</f>
        <v>#REF!</v>
      </c>
      <c r="B29" s="20" t="s">
        <v>284</v>
      </c>
      <c r="D29" s="21"/>
      <c r="E29" s="21"/>
      <c r="F29" s="21"/>
    </row>
    <row r="30" spans="1:6" x14ac:dyDescent="0.3">
      <c r="A30" t="e">
        <f>_xlfn.CONCAT(#REF!,#REF!)</f>
        <v>#REF!</v>
      </c>
      <c r="B30" s="20" t="s">
        <v>285</v>
      </c>
      <c r="D30" s="21"/>
      <c r="E30" s="21"/>
      <c r="F30" s="21"/>
    </row>
    <row r="31" spans="1:6" x14ac:dyDescent="0.3">
      <c r="A31" t="e">
        <f>_xlfn.CONCAT(#REF!,#REF!)</f>
        <v>#REF!</v>
      </c>
      <c r="B31" s="20" t="s">
        <v>286</v>
      </c>
      <c r="D31" s="21"/>
      <c r="E31" s="21"/>
      <c r="F31" s="21"/>
    </row>
    <row r="32" spans="1:6" x14ac:dyDescent="0.3">
      <c r="A32" t="e">
        <f>_xlfn.CONCAT(#REF!,#REF!)</f>
        <v>#REF!</v>
      </c>
      <c r="B32" s="20" t="s">
        <v>287</v>
      </c>
      <c r="D32" s="21"/>
      <c r="E32" s="21"/>
      <c r="F32" s="21"/>
    </row>
    <row r="33" spans="1:6" x14ac:dyDescent="0.3">
      <c r="A33" t="e">
        <f>_xlfn.CONCAT(#REF!,#REF!)</f>
        <v>#REF!</v>
      </c>
      <c r="B33" s="20" t="s">
        <v>288</v>
      </c>
      <c r="D33" s="21"/>
      <c r="E33" s="21"/>
      <c r="F33" s="21"/>
    </row>
    <row r="34" spans="1:6" x14ac:dyDescent="0.3">
      <c r="A34" t="e">
        <f>_xlfn.CONCAT(#REF!,#REF!)</f>
        <v>#REF!</v>
      </c>
      <c r="B34" s="20" t="s">
        <v>289</v>
      </c>
      <c r="D34" s="21"/>
      <c r="E34" s="21"/>
      <c r="F34" s="21"/>
    </row>
    <row r="35" spans="1:6" x14ac:dyDescent="0.3">
      <c r="A35" t="e">
        <f>_xlfn.CONCAT(#REF!,#REF!)</f>
        <v>#REF!</v>
      </c>
      <c r="B35" s="20" t="s">
        <v>290</v>
      </c>
      <c r="D35" s="21"/>
      <c r="E35" s="21"/>
      <c r="F35" s="21"/>
    </row>
    <row r="36" spans="1:6" x14ac:dyDescent="0.3">
      <c r="A36" t="e">
        <f>_xlfn.CONCAT(#REF!,#REF!)</f>
        <v>#REF!</v>
      </c>
      <c r="B36" s="20" t="s">
        <v>291</v>
      </c>
      <c r="D36" s="21"/>
      <c r="E36" s="21"/>
      <c r="F36" s="21"/>
    </row>
    <row r="37" spans="1:6" x14ac:dyDescent="0.3">
      <c r="A37" t="e">
        <f>_xlfn.CONCAT(#REF!,#REF!)</f>
        <v>#REF!</v>
      </c>
      <c r="B37" s="20" t="s">
        <v>292</v>
      </c>
      <c r="D37" s="21"/>
      <c r="E37" s="21"/>
      <c r="F37" s="21"/>
    </row>
    <row r="38" spans="1:6" x14ac:dyDescent="0.3">
      <c r="A38" t="e">
        <f>_xlfn.CONCAT(#REF!,#REF!)</f>
        <v>#REF!</v>
      </c>
      <c r="B38" s="20" t="s">
        <v>293</v>
      </c>
      <c r="D38" s="21"/>
      <c r="E38" s="21"/>
      <c r="F38" s="21"/>
    </row>
    <row r="39" spans="1:6" x14ac:dyDescent="0.3">
      <c r="A39" t="e">
        <f>_xlfn.CONCAT(#REF!,#REF!)</f>
        <v>#REF!</v>
      </c>
      <c r="B39" s="20" t="s">
        <v>294</v>
      </c>
      <c r="D39" s="21"/>
      <c r="E39" s="21"/>
      <c r="F39" s="21"/>
    </row>
    <row r="40" spans="1:6" x14ac:dyDescent="0.3">
      <c r="A40" t="e">
        <f>_xlfn.CONCAT(#REF!,#REF!)</f>
        <v>#REF!</v>
      </c>
      <c r="B40" s="20" t="s">
        <v>295</v>
      </c>
      <c r="D40" s="21"/>
      <c r="E40" s="21"/>
      <c r="F40" s="21"/>
    </row>
    <row r="41" spans="1:6" x14ac:dyDescent="0.3">
      <c r="A41" t="e">
        <f>_xlfn.CONCAT(#REF!,#REF!)</f>
        <v>#REF!</v>
      </c>
      <c r="B41" s="20" t="s">
        <v>296</v>
      </c>
      <c r="D41" s="21"/>
      <c r="E41" s="21"/>
      <c r="F41" s="21"/>
    </row>
    <row r="42" spans="1:6" x14ac:dyDescent="0.3">
      <c r="A42" t="e">
        <f>_xlfn.CONCAT(#REF!,#REF!)</f>
        <v>#REF!</v>
      </c>
      <c r="B42" s="20" t="s">
        <v>297</v>
      </c>
      <c r="D42" s="21"/>
      <c r="E42" s="21"/>
      <c r="F42" s="21"/>
    </row>
    <row r="43" spans="1:6" x14ac:dyDescent="0.3">
      <c r="A43" t="e">
        <f>_xlfn.CONCAT(#REF!,#REF!)</f>
        <v>#REF!</v>
      </c>
      <c r="B43" s="20" t="s">
        <v>298</v>
      </c>
      <c r="D43" s="21"/>
      <c r="E43" s="21"/>
      <c r="F43" s="21"/>
    </row>
    <row r="44" spans="1:6" x14ac:dyDescent="0.3">
      <c r="A44" t="e">
        <f>_xlfn.CONCAT(#REF!,#REF!)</f>
        <v>#REF!</v>
      </c>
      <c r="B44" s="20" t="s">
        <v>299</v>
      </c>
      <c r="D44" s="21"/>
      <c r="E44" s="21"/>
      <c r="F44" s="21"/>
    </row>
    <row r="45" spans="1:6" x14ac:dyDescent="0.3">
      <c r="A45" t="e">
        <f>_xlfn.CONCAT(#REF!,#REF!)</f>
        <v>#REF!</v>
      </c>
      <c r="B45" s="20" t="s">
        <v>300</v>
      </c>
      <c r="D45" s="21"/>
      <c r="E45" s="21"/>
      <c r="F45" s="21"/>
    </row>
    <row r="46" spans="1:6" x14ac:dyDescent="0.3">
      <c r="A46" t="e">
        <f>_xlfn.CONCAT(#REF!,#REF!)</f>
        <v>#REF!</v>
      </c>
      <c r="B46" s="20" t="s">
        <v>301</v>
      </c>
      <c r="D46" s="21"/>
      <c r="E46" s="21"/>
      <c r="F46" s="21"/>
    </row>
    <row r="47" spans="1:6" x14ac:dyDescent="0.3">
      <c r="A47" t="e">
        <f>_xlfn.CONCAT(#REF!,#REF!)</f>
        <v>#REF!</v>
      </c>
      <c r="B47" s="20" t="s">
        <v>302</v>
      </c>
      <c r="D47" s="21"/>
      <c r="E47" s="21"/>
      <c r="F47" s="21"/>
    </row>
    <row r="48" spans="1:6" x14ac:dyDescent="0.3">
      <c r="A48" t="e">
        <f>_xlfn.CONCAT(#REF!,#REF!)</f>
        <v>#REF!</v>
      </c>
      <c r="B48" s="20" t="s">
        <v>303</v>
      </c>
      <c r="D48" s="21"/>
      <c r="E48" s="21"/>
      <c r="F48" s="21"/>
    </row>
    <row r="49" spans="1:6" x14ac:dyDescent="0.3">
      <c r="A49" t="e">
        <f>_xlfn.CONCAT(#REF!,#REF!)</f>
        <v>#REF!</v>
      </c>
      <c r="B49" s="20" t="s">
        <v>304</v>
      </c>
      <c r="D49" s="21"/>
      <c r="E49" s="21"/>
      <c r="F49" s="21"/>
    </row>
    <row r="50" spans="1:6" x14ac:dyDescent="0.3">
      <c r="A50" t="e">
        <f>_xlfn.CONCAT(#REF!,#REF!)</f>
        <v>#REF!</v>
      </c>
      <c r="B50" s="20" t="s">
        <v>305</v>
      </c>
      <c r="D50" s="21"/>
      <c r="E50" s="21"/>
      <c r="F50" s="21"/>
    </row>
    <row r="51" spans="1:6" x14ac:dyDescent="0.3">
      <c r="A51" t="e">
        <f>_xlfn.CONCAT(#REF!,#REF!)</f>
        <v>#REF!</v>
      </c>
      <c r="B51" s="20" t="s">
        <v>306</v>
      </c>
      <c r="D51" s="21"/>
      <c r="E51" s="21"/>
      <c r="F51" s="21"/>
    </row>
    <row r="52" spans="1:6" x14ac:dyDescent="0.3">
      <c r="A52" t="e">
        <f>_xlfn.CONCAT(#REF!,#REF!)</f>
        <v>#REF!</v>
      </c>
      <c r="B52" s="20" t="s">
        <v>307</v>
      </c>
      <c r="D52" s="21"/>
      <c r="E52" s="21"/>
      <c r="F52" s="21"/>
    </row>
    <row r="53" spans="1:6" x14ac:dyDescent="0.3">
      <c r="A53" t="e">
        <f>_xlfn.CONCAT(#REF!,#REF!)</f>
        <v>#REF!</v>
      </c>
      <c r="B53" s="20" t="s">
        <v>308</v>
      </c>
      <c r="D53" s="21"/>
      <c r="E53" s="21"/>
      <c r="F53" s="21"/>
    </row>
    <row r="54" spans="1:6" x14ac:dyDescent="0.3">
      <c r="A54" t="e">
        <f>_xlfn.CONCAT(#REF!,#REF!)</f>
        <v>#REF!</v>
      </c>
      <c r="B54" s="20" t="s">
        <v>309</v>
      </c>
      <c r="D54" s="21"/>
      <c r="E54" s="21"/>
      <c r="F54" s="21"/>
    </row>
    <row r="55" spans="1:6" x14ac:dyDescent="0.3">
      <c r="A55" t="e">
        <f>_xlfn.CONCAT(#REF!,#REF!)</f>
        <v>#REF!</v>
      </c>
      <c r="B55" s="20" t="s">
        <v>310</v>
      </c>
      <c r="D55" s="21"/>
      <c r="E55" s="21"/>
      <c r="F55" s="21"/>
    </row>
    <row r="56" spans="1:6" x14ac:dyDescent="0.3">
      <c r="A56" t="e">
        <f>_xlfn.CONCAT(#REF!,#REF!)</f>
        <v>#REF!</v>
      </c>
      <c r="B56" s="20" t="s">
        <v>311</v>
      </c>
      <c r="D56" s="21"/>
      <c r="E56" s="21"/>
      <c r="F56" s="21"/>
    </row>
    <row r="57" spans="1:6" x14ac:dyDescent="0.3">
      <c r="A57" t="e">
        <f>_xlfn.CONCAT(#REF!,#REF!)</f>
        <v>#REF!</v>
      </c>
      <c r="B57" s="20" t="s">
        <v>312</v>
      </c>
      <c r="D57" s="21"/>
      <c r="E57" s="21"/>
      <c r="F57" s="21"/>
    </row>
    <row r="58" spans="1:6" x14ac:dyDescent="0.3">
      <c r="A58" t="e">
        <f>_xlfn.CONCAT(#REF!,#REF!)</f>
        <v>#REF!</v>
      </c>
      <c r="B58" s="20" t="s">
        <v>313</v>
      </c>
      <c r="D58" s="21"/>
      <c r="E58" s="21"/>
      <c r="F58" s="21"/>
    </row>
    <row r="59" spans="1:6" x14ac:dyDescent="0.3">
      <c r="A59" t="e">
        <f>_xlfn.CONCAT(#REF!,#REF!)</f>
        <v>#REF!</v>
      </c>
      <c r="B59" s="20" t="s">
        <v>314</v>
      </c>
      <c r="D59" s="21"/>
      <c r="E59" s="21"/>
      <c r="F59" s="21"/>
    </row>
    <row r="60" spans="1:6" x14ac:dyDescent="0.3">
      <c r="A60" t="e">
        <f>_xlfn.CONCAT(#REF!,#REF!)</f>
        <v>#REF!</v>
      </c>
      <c r="B60" s="20" t="s">
        <v>315</v>
      </c>
      <c r="D60" s="21"/>
      <c r="E60" s="21"/>
      <c r="F60" s="21"/>
    </row>
    <row r="61" spans="1:6" x14ac:dyDescent="0.3">
      <c r="A61" t="e">
        <f>_xlfn.CONCAT(#REF!,#REF!)</f>
        <v>#REF!</v>
      </c>
      <c r="B61" s="20" t="s">
        <v>316</v>
      </c>
      <c r="D61" s="21"/>
      <c r="E61" s="21"/>
      <c r="F61" s="21"/>
    </row>
    <row r="62" spans="1:6" x14ac:dyDescent="0.3">
      <c r="A62" t="e">
        <f>_xlfn.CONCAT(#REF!,#REF!)</f>
        <v>#REF!</v>
      </c>
      <c r="B62" s="20" t="s">
        <v>317</v>
      </c>
      <c r="D62" s="21"/>
      <c r="E62" s="21"/>
      <c r="F62" s="21"/>
    </row>
    <row r="63" spans="1:6" x14ac:dyDescent="0.3">
      <c r="A63" t="e">
        <f>_xlfn.CONCAT(#REF!,#REF!)</f>
        <v>#REF!</v>
      </c>
      <c r="B63" s="20" t="s">
        <v>318</v>
      </c>
      <c r="D63" s="21"/>
      <c r="E63" s="21"/>
      <c r="F63" s="21"/>
    </row>
    <row r="64" spans="1:6" x14ac:dyDescent="0.3">
      <c r="A64" t="e">
        <f>_xlfn.CONCAT(#REF!,#REF!)</f>
        <v>#REF!</v>
      </c>
      <c r="B64" s="20" t="s">
        <v>319</v>
      </c>
      <c r="D64" s="21"/>
      <c r="E64" s="21"/>
      <c r="F64" s="21"/>
    </row>
    <row r="65" spans="1:6" x14ac:dyDescent="0.3">
      <c r="A65" t="e">
        <f>_xlfn.CONCAT(#REF!,#REF!)</f>
        <v>#REF!</v>
      </c>
      <c r="B65" s="20" t="s">
        <v>320</v>
      </c>
      <c r="D65" s="21"/>
      <c r="E65" s="21"/>
      <c r="F65" s="21"/>
    </row>
    <row r="66" spans="1:6" x14ac:dyDescent="0.3">
      <c r="A66" t="e">
        <f>_xlfn.CONCAT(#REF!,#REF!)</f>
        <v>#REF!</v>
      </c>
      <c r="B66" s="20" t="s">
        <v>321</v>
      </c>
      <c r="D66" s="21"/>
      <c r="E66" s="21"/>
      <c r="F66" s="21"/>
    </row>
    <row r="67" spans="1:6" x14ac:dyDescent="0.3">
      <c r="A67" t="e">
        <f>_xlfn.CONCAT(#REF!,#REF!)</f>
        <v>#REF!</v>
      </c>
      <c r="B67" s="20" t="s">
        <v>322</v>
      </c>
      <c r="D67" s="21"/>
      <c r="E67" s="21"/>
      <c r="F67" s="21"/>
    </row>
    <row r="68" spans="1:6" x14ac:dyDescent="0.3">
      <c r="A68" t="e">
        <f>_xlfn.CONCAT(#REF!,#REF!)</f>
        <v>#REF!</v>
      </c>
      <c r="B68" s="20" t="s">
        <v>323</v>
      </c>
      <c r="D68" s="21"/>
      <c r="E68" s="21"/>
      <c r="F68" s="21"/>
    </row>
    <row r="69" spans="1:6" x14ac:dyDescent="0.3">
      <c r="A69" t="e">
        <f>_xlfn.CONCAT(#REF!,#REF!)</f>
        <v>#REF!</v>
      </c>
      <c r="B69" s="20" t="s">
        <v>324</v>
      </c>
      <c r="D69" s="21"/>
      <c r="E69" s="21"/>
      <c r="F69" s="21"/>
    </row>
    <row r="70" spans="1:6" x14ac:dyDescent="0.3">
      <c r="A70" t="e">
        <f>_xlfn.CONCAT(#REF!,#REF!)</f>
        <v>#REF!</v>
      </c>
      <c r="B70" s="20" t="s">
        <v>325</v>
      </c>
      <c r="D70" s="21"/>
      <c r="E70" s="21"/>
      <c r="F70" s="21"/>
    </row>
    <row r="71" spans="1:6" x14ac:dyDescent="0.3">
      <c r="A71" t="e">
        <f>_xlfn.CONCAT(#REF!,#REF!)</f>
        <v>#REF!</v>
      </c>
      <c r="B71" s="20" t="s">
        <v>326</v>
      </c>
      <c r="D71" s="21"/>
      <c r="E71" s="21"/>
      <c r="F71" s="21"/>
    </row>
    <row r="72" spans="1:6" x14ac:dyDescent="0.3">
      <c r="A72" t="e">
        <f>_xlfn.CONCAT(#REF!,#REF!)</f>
        <v>#REF!</v>
      </c>
      <c r="B72" s="20" t="s">
        <v>327</v>
      </c>
      <c r="D72" s="21"/>
      <c r="E72" s="21"/>
      <c r="F72" s="21"/>
    </row>
    <row r="73" spans="1:6" x14ac:dyDescent="0.3">
      <c r="A73" t="e">
        <f>_xlfn.CONCAT(#REF!,#REF!)</f>
        <v>#REF!</v>
      </c>
      <c r="B73" s="20" t="s">
        <v>328</v>
      </c>
      <c r="D73" s="21"/>
      <c r="E73" s="21"/>
      <c r="F73" s="21"/>
    </row>
    <row r="74" spans="1:6" x14ac:dyDescent="0.3">
      <c r="A74" t="e">
        <f>_xlfn.CONCAT(#REF!,#REF!)</f>
        <v>#REF!</v>
      </c>
      <c r="B74" s="20" t="s">
        <v>329</v>
      </c>
      <c r="D74" s="21"/>
      <c r="E74" s="21"/>
      <c r="F74" s="21"/>
    </row>
    <row r="75" spans="1:6" x14ac:dyDescent="0.3">
      <c r="A75" t="e">
        <f>_xlfn.CONCAT(#REF!,#REF!)</f>
        <v>#REF!</v>
      </c>
      <c r="B75" s="20" t="s">
        <v>330</v>
      </c>
      <c r="D75" s="21"/>
      <c r="E75" s="21"/>
      <c r="F75" s="21"/>
    </row>
    <row r="76" spans="1:6" x14ac:dyDescent="0.3">
      <c r="A76" t="e">
        <f>_xlfn.CONCAT(#REF!,#REF!)</f>
        <v>#REF!</v>
      </c>
      <c r="B76" s="20" t="s">
        <v>331</v>
      </c>
      <c r="D76" s="21"/>
      <c r="E76" s="21"/>
      <c r="F76" s="21"/>
    </row>
    <row r="77" spans="1:6" x14ac:dyDescent="0.3">
      <c r="A77" t="e">
        <f>_xlfn.CONCAT(#REF!,#REF!)</f>
        <v>#REF!</v>
      </c>
      <c r="B77" s="20" t="s">
        <v>332</v>
      </c>
      <c r="D77" s="21"/>
      <c r="E77" s="21"/>
      <c r="F77" s="21"/>
    </row>
    <row r="78" spans="1:6" x14ac:dyDescent="0.3">
      <c r="A78" t="e">
        <f>_xlfn.CONCAT(#REF!,#REF!)</f>
        <v>#REF!</v>
      </c>
      <c r="B78" s="20" t="s">
        <v>333</v>
      </c>
      <c r="D78" s="21"/>
      <c r="E78" s="21"/>
      <c r="F78" s="21"/>
    </row>
    <row r="79" spans="1:6" x14ac:dyDescent="0.3">
      <c r="A79" t="e">
        <f>_xlfn.CONCAT(#REF!,#REF!)</f>
        <v>#REF!</v>
      </c>
      <c r="B79" s="20" t="s">
        <v>334</v>
      </c>
      <c r="D79" s="21"/>
      <c r="E79" s="21"/>
      <c r="F79" s="21"/>
    </row>
    <row r="80" spans="1:6" x14ac:dyDescent="0.3">
      <c r="A80" t="e">
        <f>_xlfn.CONCAT(#REF!,#REF!)</f>
        <v>#REF!</v>
      </c>
      <c r="B80" s="20" t="s">
        <v>335</v>
      </c>
      <c r="D80" s="21"/>
      <c r="E80" s="21"/>
      <c r="F80" s="21"/>
    </row>
    <row r="81" spans="1:6" x14ac:dyDescent="0.3">
      <c r="A81" t="e">
        <f>_xlfn.CONCAT(#REF!,#REF!)</f>
        <v>#REF!</v>
      </c>
      <c r="B81" s="20" t="s">
        <v>336</v>
      </c>
      <c r="D81" s="21"/>
      <c r="E81" s="21"/>
      <c r="F81" s="21"/>
    </row>
    <row r="82" spans="1:6" x14ac:dyDescent="0.3">
      <c r="A82" t="e">
        <f>_xlfn.CONCAT(#REF!,#REF!)</f>
        <v>#REF!</v>
      </c>
      <c r="B82" s="20" t="s">
        <v>337</v>
      </c>
      <c r="D82" s="21"/>
      <c r="E82" s="21"/>
      <c r="F82" s="21"/>
    </row>
    <row r="83" spans="1:6" x14ac:dyDescent="0.3">
      <c r="A83" t="e">
        <f>_xlfn.CONCAT(#REF!,#REF!)</f>
        <v>#REF!</v>
      </c>
      <c r="B83" s="20" t="s">
        <v>338</v>
      </c>
      <c r="D83" s="21"/>
      <c r="E83" s="21"/>
      <c r="F83" s="21"/>
    </row>
    <row r="84" spans="1:6" x14ac:dyDescent="0.3">
      <c r="A84" t="e">
        <f>_xlfn.CONCAT(#REF!,#REF!)</f>
        <v>#REF!</v>
      </c>
      <c r="B84" s="20" t="s">
        <v>339</v>
      </c>
      <c r="D84" s="21"/>
      <c r="E84" s="21"/>
      <c r="F84" s="21"/>
    </row>
    <row r="85" spans="1:6" x14ac:dyDescent="0.3">
      <c r="A85" t="e">
        <f>_xlfn.CONCAT(#REF!,#REF!)</f>
        <v>#REF!</v>
      </c>
      <c r="B85" s="20" t="s">
        <v>340</v>
      </c>
      <c r="D85" s="21"/>
      <c r="E85" s="21"/>
      <c r="F85" s="21"/>
    </row>
    <row r="86" spans="1:6" x14ac:dyDescent="0.3">
      <c r="A86" t="e">
        <f>_xlfn.CONCAT(#REF!,#REF!)</f>
        <v>#REF!</v>
      </c>
      <c r="B86" s="20" t="s">
        <v>341</v>
      </c>
      <c r="D86" s="21"/>
      <c r="E86" s="21"/>
      <c r="F86" s="21"/>
    </row>
    <row r="87" spans="1:6" x14ac:dyDescent="0.3">
      <c r="A87" t="e">
        <f>_xlfn.CONCAT(#REF!,#REF!)</f>
        <v>#REF!</v>
      </c>
      <c r="B87" s="20" t="s">
        <v>342</v>
      </c>
      <c r="D87" s="21"/>
      <c r="E87" s="21"/>
      <c r="F87" s="21"/>
    </row>
    <row r="88" spans="1:6" x14ac:dyDescent="0.3">
      <c r="A88" t="e">
        <f>_xlfn.CONCAT(#REF!,#REF!)</f>
        <v>#REF!</v>
      </c>
      <c r="B88" s="20" t="s">
        <v>343</v>
      </c>
      <c r="D88" s="21"/>
      <c r="E88" s="21"/>
      <c r="F88" s="21"/>
    </row>
    <row r="89" spans="1:6" x14ac:dyDescent="0.3">
      <c r="A89" t="e">
        <f>_xlfn.CONCAT(#REF!,#REF!)</f>
        <v>#REF!</v>
      </c>
      <c r="B89" s="20" t="s">
        <v>344</v>
      </c>
      <c r="D89" s="21"/>
      <c r="E89" s="21"/>
      <c r="F89" s="21"/>
    </row>
    <row r="90" spans="1:6" x14ac:dyDescent="0.3">
      <c r="A90" t="e">
        <f>_xlfn.CONCAT(#REF!,#REF!)</f>
        <v>#REF!</v>
      </c>
      <c r="B90" s="20" t="s">
        <v>345</v>
      </c>
      <c r="D90" s="21"/>
      <c r="E90" s="21"/>
      <c r="F90" s="21"/>
    </row>
    <row r="91" spans="1:6" x14ac:dyDescent="0.3">
      <c r="A91" t="e">
        <f>_xlfn.CONCAT(#REF!,#REF!)</f>
        <v>#REF!</v>
      </c>
      <c r="B91" s="20" t="s">
        <v>346</v>
      </c>
      <c r="D91" s="21"/>
      <c r="E91" s="21"/>
      <c r="F91" s="21"/>
    </row>
    <row r="92" spans="1:6" x14ac:dyDescent="0.3">
      <c r="A92" t="e">
        <f>_xlfn.CONCAT(#REF!,#REF!)</f>
        <v>#REF!</v>
      </c>
      <c r="B92" s="20" t="s">
        <v>347</v>
      </c>
      <c r="D92" s="21"/>
      <c r="E92" s="21"/>
      <c r="F92" s="21"/>
    </row>
    <row r="93" spans="1:6" x14ac:dyDescent="0.3">
      <c r="A93" t="e">
        <f>_xlfn.CONCAT(#REF!,#REF!)</f>
        <v>#REF!</v>
      </c>
      <c r="B93" s="20" t="s">
        <v>348</v>
      </c>
      <c r="D93" s="21"/>
      <c r="E93" s="21"/>
      <c r="F93" s="21"/>
    </row>
    <row r="94" spans="1:6" x14ac:dyDescent="0.3">
      <c r="A94" t="e">
        <f>_xlfn.CONCAT(#REF!,#REF!)</f>
        <v>#REF!</v>
      </c>
      <c r="B94" s="20" t="s">
        <v>349</v>
      </c>
      <c r="D94" s="21"/>
      <c r="E94" s="21"/>
      <c r="F94" s="21"/>
    </row>
    <row r="95" spans="1:6" x14ac:dyDescent="0.3">
      <c r="A95" t="e">
        <f>_xlfn.CONCAT(#REF!,#REF!)</f>
        <v>#REF!</v>
      </c>
      <c r="B95" s="20" t="s">
        <v>350</v>
      </c>
      <c r="D95" s="21"/>
      <c r="E95" s="21"/>
      <c r="F95" s="21"/>
    </row>
    <row r="96" spans="1:6" x14ac:dyDescent="0.3">
      <c r="A96" t="e">
        <f>_xlfn.CONCAT(#REF!,#REF!)</f>
        <v>#REF!</v>
      </c>
      <c r="B96" s="20" t="s">
        <v>351</v>
      </c>
      <c r="D96" s="21"/>
      <c r="E96" s="21"/>
      <c r="F96" s="21"/>
    </row>
    <row r="97" spans="1:6" x14ac:dyDescent="0.3">
      <c r="A97" t="e">
        <f>_xlfn.CONCAT(#REF!,#REF!)</f>
        <v>#REF!</v>
      </c>
      <c r="B97" s="20" t="s">
        <v>352</v>
      </c>
      <c r="D97" s="21"/>
      <c r="E97" s="21"/>
      <c r="F97" s="21"/>
    </row>
    <row r="98" spans="1:6" x14ac:dyDescent="0.3">
      <c r="A98" t="e">
        <f>_xlfn.CONCAT(#REF!,#REF!)</f>
        <v>#REF!</v>
      </c>
      <c r="B98" s="20" t="s">
        <v>353</v>
      </c>
      <c r="D98" s="21"/>
      <c r="E98" s="21"/>
      <c r="F98" s="21"/>
    </row>
    <row r="99" spans="1:6" x14ac:dyDescent="0.3">
      <c r="A99" t="e">
        <f>_xlfn.CONCAT(#REF!,#REF!)</f>
        <v>#REF!</v>
      </c>
      <c r="B99" s="20" t="s">
        <v>354</v>
      </c>
      <c r="D99" s="21"/>
      <c r="E99" s="21"/>
      <c r="F99" s="21"/>
    </row>
    <row r="100" spans="1:6" x14ac:dyDescent="0.3">
      <c r="A100" t="e">
        <f>_xlfn.CONCAT(#REF!,#REF!)</f>
        <v>#REF!</v>
      </c>
      <c r="B100" s="20" t="s">
        <v>355</v>
      </c>
      <c r="D100" s="21"/>
      <c r="E100" s="21"/>
      <c r="F100" s="21"/>
    </row>
    <row r="101" spans="1:6" x14ac:dyDescent="0.3">
      <c r="A101" t="e">
        <f>_xlfn.CONCAT(#REF!,#REF!)</f>
        <v>#REF!</v>
      </c>
      <c r="B101" s="20" t="s">
        <v>356</v>
      </c>
      <c r="D101" s="21"/>
      <c r="E101" s="21"/>
      <c r="F101" s="21"/>
    </row>
    <row r="102" spans="1:6" x14ac:dyDescent="0.3">
      <c r="A102" t="e">
        <f>_xlfn.CONCAT(#REF!,#REF!)</f>
        <v>#REF!</v>
      </c>
      <c r="B102" s="20" t="s">
        <v>357</v>
      </c>
      <c r="D102" s="21"/>
      <c r="E102" s="21"/>
      <c r="F102" s="21"/>
    </row>
    <row r="103" spans="1:6" x14ac:dyDescent="0.3">
      <c r="A103" t="e">
        <f>_xlfn.CONCAT(#REF!,#REF!)</f>
        <v>#REF!</v>
      </c>
      <c r="B103" s="20" t="s">
        <v>358</v>
      </c>
      <c r="D103" s="21"/>
      <c r="E103" s="21"/>
      <c r="F103" s="21"/>
    </row>
    <row r="104" spans="1:6" x14ac:dyDescent="0.3">
      <c r="A104" t="e">
        <f>_xlfn.CONCAT(#REF!,#REF!)</f>
        <v>#REF!</v>
      </c>
      <c r="B104" s="20" t="s">
        <v>359</v>
      </c>
      <c r="D104" s="21"/>
      <c r="E104" s="21"/>
      <c r="F104" s="21"/>
    </row>
  </sheetData>
  <autoFilter ref="B4:F104" xr:uid="{00000000-0009-0000-0000-000005000000}"/>
  <mergeCells count="4">
    <mergeCell ref="B2:C2"/>
    <mergeCell ref="D2:E2"/>
    <mergeCell ref="B1:C1"/>
    <mergeCell ref="D1:E1"/>
  </mergeCells>
  <pageMargins left="0.43307086614173229" right="0.70866141732283472" top="1.299212598425197" bottom="0.74803149606299213" header="0.31496062992125984" footer="0.31496062992125984"/>
  <pageSetup paperSize="9" fitToHeight="0" orientation="landscape" r:id="rId1"/>
  <headerFooter>
    <oddHeader>&amp;L&amp;"-,Gras"&amp;14Fiche interservices d'achat
Partie IT - Exigences
&amp;R&amp;G</oddHeader>
    <oddFooter>&amp;LPartie demandeur, page &amp;P/&amp;N&amp;RV1.0 // 2022 06 08</oddFooter>
  </headerFooter>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863F5DF2-8E2F-4664-B3C4-23135168B76C}">
          <x14:formula1>
            <xm:f>Data!$G$1:$G$2</xm:f>
          </x14:formula1>
          <xm:sqref>D5:D1048576</xm:sqref>
        </x14:dataValidation>
        <x14:dataValidation type="list" allowBlank="1" showInputMessage="1" showErrorMessage="1" xr:uid="{2B60917C-BE6F-4DEA-923D-F72BA3CA959F}">
          <x14:formula1>
            <xm:f>'Data 2'!$B$14:$B$18</xm:f>
          </x14:formula1>
          <xm:sqref>C5:C1048576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T32"/>
  <sheetViews>
    <sheetView showZeros="0" workbookViewId="0">
      <selection activeCell="C1" sqref="C1"/>
    </sheetView>
  </sheetViews>
  <sheetFormatPr baseColWidth="10" defaultRowHeight="14.4" x14ac:dyDescent="0.3"/>
  <sheetData>
    <row r="1" spans="1:20" x14ac:dyDescent="0.3">
      <c r="A1" t="s">
        <v>33</v>
      </c>
      <c r="D1" t="s">
        <v>85</v>
      </c>
      <c r="E1" t="s">
        <v>364</v>
      </c>
      <c r="G1" t="s">
        <v>86</v>
      </c>
      <c r="I1" t="s">
        <v>4</v>
      </c>
      <c r="K1" t="s">
        <v>87</v>
      </c>
      <c r="M1" t="s">
        <v>158</v>
      </c>
      <c r="O1" t="s">
        <v>360</v>
      </c>
      <c r="Q1" t="s">
        <v>361</v>
      </c>
      <c r="T1" t="s">
        <v>33</v>
      </c>
    </row>
    <row r="2" spans="1:20" x14ac:dyDescent="0.3">
      <c r="A2" t="s">
        <v>32</v>
      </c>
      <c r="D2" t="s">
        <v>88</v>
      </c>
      <c r="E2" t="s">
        <v>92</v>
      </c>
      <c r="G2" t="s">
        <v>89</v>
      </c>
      <c r="I2" t="s">
        <v>90</v>
      </c>
      <c r="M2" t="s">
        <v>159</v>
      </c>
      <c r="O2" t="s">
        <v>362</v>
      </c>
      <c r="Q2" t="s">
        <v>363</v>
      </c>
      <c r="T2" t="s">
        <v>32</v>
      </c>
    </row>
    <row r="3" spans="1:20" x14ac:dyDescent="0.3">
      <c r="D3" t="s">
        <v>91</v>
      </c>
      <c r="E3" t="s">
        <v>95</v>
      </c>
      <c r="G3" t="s">
        <v>93</v>
      </c>
      <c r="I3" t="s">
        <v>10</v>
      </c>
      <c r="M3" t="s">
        <v>157</v>
      </c>
    </row>
    <row r="4" spans="1:20" x14ac:dyDescent="0.3">
      <c r="D4" t="s">
        <v>94</v>
      </c>
      <c r="E4" t="s">
        <v>97</v>
      </c>
    </row>
    <row r="5" spans="1:20" x14ac:dyDescent="0.3">
      <c r="D5" t="s">
        <v>96</v>
      </c>
      <c r="E5" t="s">
        <v>99</v>
      </c>
    </row>
    <row r="6" spans="1:20" x14ac:dyDescent="0.3">
      <c r="D6" t="s">
        <v>98</v>
      </c>
      <c r="E6" t="s">
        <v>101</v>
      </c>
    </row>
    <row r="7" spans="1:20" x14ac:dyDescent="0.3">
      <c r="D7" t="s">
        <v>100</v>
      </c>
      <c r="E7" t="s">
        <v>103</v>
      </c>
    </row>
    <row r="8" spans="1:20" x14ac:dyDescent="0.3">
      <c r="D8" t="s">
        <v>102</v>
      </c>
      <c r="E8" t="s">
        <v>105</v>
      </c>
    </row>
    <row r="9" spans="1:20" x14ac:dyDescent="0.3">
      <c r="D9" t="s">
        <v>104</v>
      </c>
      <c r="E9" t="s">
        <v>107</v>
      </c>
    </row>
    <row r="10" spans="1:20" x14ac:dyDescent="0.3">
      <c r="D10" t="s">
        <v>106</v>
      </c>
      <c r="E10" t="s">
        <v>109</v>
      </c>
    </row>
    <row r="11" spans="1:20" x14ac:dyDescent="0.3">
      <c r="D11" t="s">
        <v>108</v>
      </c>
      <c r="E11" t="s">
        <v>111</v>
      </c>
    </row>
    <row r="12" spans="1:20" x14ac:dyDescent="0.3">
      <c r="D12" t="s">
        <v>110</v>
      </c>
      <c r="E12" t="s">
        <v>113</v>
      </c>
    </row>
    <row r="13" spans="1:20" x14ac:dyDescent="0.3">
      <c r="D13" t="s">
        <v>112</v>
      </c>
      <c r="E13" t="s">
        <v>115</v>
      </c>
    </row>
    <row r="14" spans="1:20" x14ac:dyDescent="0.3">
      <c r="D14" t="s">
        <v>114</v>
      </c>
      <c r="E14" t="s">
        <v>117</v>
      </c>
    </row>
    <row r="15" spans="1:20" x14ac:dyDescent="0.3">
      <c r="D15" t="s">
        <v>116</v>
      </c>
      <c r="E15" t="s">
        <v>119</v>
      </c>
    </row>
    <row r="16" spans="1:20" x14ac:dyDescent="0.3">
      <c r="D16" t="s">
        <v>118</v>
      </c>
      <c r="E16" t="s">
        <v>121</v>
      </c>
    </row>
    <row r="17" spans="4:5" x14ac:dyDescent="0.3">
      <c r="D17" t="s">
        <v>120</v>
      </c>
      <c r="E17" t="s">
        <v>123</v>
      </c>
    </row>
    <row r="18" spans="4:5" x14ac:dyDescent="0.3">
      <c r="D18" t="s">
        <v>122</v>
      </c>
      <c r="E18" t="s">
        <v>125</v>
      </c>
    </row>
    <row r="19" spans="4:5" x14ac:dyDescent="0.3">
      <c r="D19" t="s">
        <v>124</v>
      </c>
      <c r="E19" t="s">
        <v>127</v>
      </c>
    </row>
    <row r="20" spans="4:5" x14ac:dyDescent="0.3">
      <c r="D20" t="s">
        <v>126</v>
      </c>
      <c r="E20" t="s">
        <v>129</v>
      </c>
    </row>
    <row r="21" spans="4:5" x14ac:dyDescent="0.3">
      <c r="D21" t="s">
        <v>128</v>
      </c>
      <c r="E21" t="s">
        <v>131</v>
      </c>
    </row>
    <row r="22" spans="4:5" x14ac:dyDescent="0.3">
      <c r="D22" t="s">
        <v>130</v>
      </c>
      <c r="E22" t="s">
        <v>133</v>
      </c>
    </row>
    <row r="23" spans="4:5" x14ac:dyDescent="0.3">
      <c r="D23" t="s">
        <v>132</v>
      </c>
      <c r="E23" t="s">
        <v>135</v>
      </c>
    </row>
    <row r="24" spans="4:5" x14ac:dyDescent="0.3">
      <c r="D24" t="s">
        <v>134</v>
      </c>
      <c r="E24" t="s">
        <v>137</v>
      </c>
    </row>
    <row r="25" spans="4:5" x14ac:dyDescent="0.3">
      <c r="D25" t="s">
        <v>136</v>
      </c>
      <c r="E25" t="s">
        <v>139</v>
      </c>
    </row>
    <row r="26" spans="4:5" x14ac:dyDescent="0.3">
      <c r="D26" t="s">
        <v>138</v>
      </c>
      <c r="E26" t="s">
        <v>141</v>
      </c>
    </row>
    <row r="27" spans="4:5" x14ac:dyDescent="0.3">
      <c r="D27" t="s">
        <v>140</v>
      </c>
      <c r="E27" t="s">
        <v>143</v>
      </c>
    </row>
    <row r="28" spans="4:5" x14ac:dyDescent="0.3">
      <c r="D28" t="s">
        <v>142</v>
      </c>
      <c r="E28" t="s">
        <v>145</v>
      </c>
    </row>
    <row r="29" spans="4:5" x14ac:dyDescent="0.3">
      <c r="D29" t="s">
        <v>144</v>
      </c>
      <c r="E29" t="s">
        <v>147</v>
      </c>
    </row>
    <row r="30" spans="4:5" x14ac:dyDescent="0.3">
      <c r="D30" t="s">
        <v>146</v>
      </c>
      <c r="E30" t="s">
        <v>149</v>
      </c>
    </row>
    <row r="31" spans="4:5" x14ac:dyDescent="0.3">
      <c r="D31" t="s">
        <v>148</v>
      </c>
      <c r="E31" t="s">
        <v>151</v>
      </c>
    </row>
    <row r="32" spans="4:5" x14ac:dyDescent="0.3">
      <c r="D32" t="s">
        <v>150</v>
      </c>
    </row>
  </sheetData>
  <sheetProtection algorithmName="SHA-512" hashValue="YH+fWYDfXrDdEPvjmnX/khqysYhf+BWti63K0l5SwryI0XYXNeR5hqRIEtH03GyFnF4rDBcF3vLatd7N1zUaGA==" saltValue="0SV2RpcHxVjfSKGzbxiXOA==" spinCount="100000" sheet="1" objects="1" scenarios="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651DC-AD45-4BD0-8399-5B3148D6825E}">
  <dimension ref="B3:B18"/>
  <sheetViews>
    <sheetView workbookViewId="0">
      <selection activeCell="C1" sqref="C1"/>
    </sheetView>
  </sheetViews>
  <sheetFormatPr baseColWidth="10" defaultRowHeight="14.4" x14ac:dyDescent="0.3"/>
  <cols>
    <col min="2" max="2" width="22.6640625" customWidth="1"/>
  </cols>
  <sheetData>
    <row r="3" spans="2:2" x14ac:dyDescent="0.3">
      <c r="B3" s="21" t="s">
        <v>377</v>
      </c>
    </row>
    <row r="4" spans="2:2" x14ac:dyDescent="0.3">
      <c r="B4" s="21" t="s">
        <v>375</v>
      </c>
    </row>
    <row r="5" spans="2:2" x14ac:dyDescent="0.3">
      <c r="B5" s="21" t="s">
        <v>376</v>
      </c>
    </row>
    <row r="6" spans="2:2" x14ac:dyDescent="0.3">
      <c r="B6" s="21" t="s">
        <v>385</v>
      </c>
    </row>
    <row r="7" spans="2:2" x14ac:dyDescent="0.3">
      <c r="B7" s="21" t="s">
        <v>386</v>
      </c>
    </row>
    <row r="8" spans="2:2" x14ac:dyDescent="0.3">
      <c r="B8" s="21" t="s">
        <v>387</v>
      </c>
    </row>
    <row r="9" spans="2:2" x14ac:dyDescent="0.3">
      <c r="B9" s="21" t="s">
        <v>393</v>
      </c>
    </row>
    <row r="10" spans="2:2" x14ac:dyDescent="0.3">
      <c r="B10" s="21" t="s">
        <v>394</v>
      </c>
    </row>
    <row r="14" spans="2:2" x14ac:dyDescent="0.3">
      <c r="B14" t="s">
        <v>388</v>
      </c>
    </row>
    <row r="15" spans="2:2" x14ac:dyDescent="0.3">
      <c r="B15" t="s">
        <v>389</v>
      </c>
    </row>
    <row r="16" spans="2:2" x14ac:dyDescent="0.3">
      <c r="B16" t="s">
        <v>390</v>
      </c>
    </row>
    <row r="17" spans="2:2" x14ac:dyDescent="0.3">
      <c r="B17" t="s">
        <v>396</v>
      </c>
    </row>
    <row r="18" spans="2:2" x14ac:dyDescent="0.3">
      <c r="B18"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4</vt:i4>
      </vt:variant>
    </vt:vector>
  </HeadingPairs>
  <TitlesOfParts>
    <vt:vector size="13" baseType="lpstr">
      <vt:lpstr>1 Lancement utilisateur </vt:lpstr>
      <vt:lpstr>2 Présentation</vt:lpstr>
      <vt:lpstr>Données</vt:lpstr>
      <vt:lpstr>4 Serv Technique fiche</vt:lpstr>
      <vt:lpstr>5 Serv Technique exigences</vt:lpstr>
      <vt:lpstr>6 IT check list annexes</vt:lpstr>
      <vt:lpstr>7  IT exigences</vt:lpstr>
      <vt:lpstr>Data</vt:lpstr>
      <vt:lpstr>Data 2</vt:lpstr>
      <vt:lpstr>'4 Serv Technique fiche'!Impression_des_titres</vt:lpstr>
      <vt:lpstr>'5 Serv Technique exigences'!Impression_des_titres</vt:lpstr>
      <vt:lpstr>'6 IT check list annexes'!Impression_des_titres</vt:lpstr>
      <vt:lpstr>'7  IT exigences'!Impression_des_titres</vt:lpstr>
    </vt:vector>
  </TitlesOfParts>
  <Company>C.H.R. DE LA CITADELLE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Demoulin Fred;Ghyse Michael</dc:creator>
  <cp:lastModifiedBy>Patanella Nadia</cp:lastModifiedBy>
  <cp:lastPrinted>2023-02-27T09:19:35Z</cp:lastPrinted>
  <dcterms:created xsi:type="dcterms:W3CDTF">2018-04-20T10:46:13Z</dcterms:created>
  <dcterms:modified xsi:type="dcterms:W3CDTF">2025-09-17T14:14:53Z</dcterms:modified>
</cp:coreProperties>
</file>